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7e1a8d563349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结果总览" sheetId="1" r:id="Rd314bdea67824193"/>
    <x:sheet xmlns:r="http://schemas.openxmlformats.org/officeDocument/2006/relationships" name="分折指标" sheetId="2" r:id="Rf58fdad8c5d946da"/>
    <x:sheet xmlns:r="http://schemas.openxmlformats.org/officeDocument/2006/relationships" name="逐类指标" sheetId="3" r:id="R36b31dec34754eb3"/>
    <x:sheet xmlns:r="http://schemas.openxmlformats.org/officeDocument/2006/relationships" name="配对对照" sheetId="4" r:id="R833e321264744a03"/>
    <x:sheet xmlns:r="http://schemas.openxmlformats.org/officeDocument/2006/relationships" name="完成状态" sheetId="5" r:id="R9b008db98cfc40f5"/>
    <x:sheet xmlns:r="http://schemas.openxmlformats.org/officeDocument/2006/relationships" name="评价口径" sheetId="6" r:id="R6962ced426ad428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"/>
    <x:numFmt numFmtId="201" formatCode="#,##0"/>
    <x:numFmt numFmtId="202" formatCode="0.00%"/>
    <x:numFmt numFmtId="203" formatCode="0.0000"/>
    <x:numFmt numFmtId="204" formatCode="0.00"/>
    <x:numFmt numFmtId="205" formatCode="0.000%"/>
    <x:numFmt numFmtId="206" formatCode="0.000000"/>
    <x:numFmt numFmtId="207" formatCode="+0.000000;-0.000000;0.000000"/>
    <x:numFmt numFmtId="208" formatCode="+0.000;-0.000;0.000"/>
    <x:numFmt numFmtId="209" formatCode="+0.00000;-0.00000;0.00000"/>
  </x:numFmts>
  <x:fonts count="5">
    <x:font>
      <x:sz val="11"/>
      <x:name val="Carlito"/>
    </x:font>
    <x:font>
      <x:sz val="10"/>
      <x:color rgb="FF243746"/>
      <x:name val="Microsoft YaHei"/>
    </x:font>
    <x:font>
      <x:b/>
      <x:sz val="10"/>
      <x:color rgb="FFFFFFFF"/>
      <x:name val="Microsoft YaHei"/>
    </x:font>
    <x:font>
      <x:b/>
      <x:sz val="15"/>
      <x:color rgb="FF243746"/>
      <x:name val="Microsoft YaHei"/>
    </x:font>
    <x:font>
      <x:i/>
      <x:sz val="10"/>
      <x:color rgb="FF52697C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DECE7"/>
      </x:patternFill>
    </x:fill>
    <x:fill>
      <x:patternFill patternType="solid">
        <x:fgColor rgb="FFF3F2E9"/>
      </x:patternFill>
    </x:fill>
  </x:fills>
  <x:borders count="2">
    <x:border>
      <x:left/>
      <x:right/>
      <x:top/>
      <x:bottom/>
      <x:diagonal/>
    </x:border>
    <x:border>
      <x:left/>
      <x:right/>
      <x:top/>
      <x:bottom style="thin">
        <x:color rgb="FFAFBECA"/>
      </x:bottom>
      <x:diagonal/>
    </x:border>
  </x:borders>
  <x:cellStyleXfs count="1">
    <x:xf numFmtId="0" fontId="0" fillId="0" borderId="0"/>
  </x:cellStyleXfs>
  <x:cellXfs count="4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6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horizontal="right" vertical="center"/>
    </x:xf>
    <x:xf numFmtId="207" fontId="1" fillId="0" borderId="0" xfId="0" applyNumberFormat="1" applyFont="1" applyFill="1" applyBorder="1" applyAlignment="1">
      <x:alignment vertical="center"/>
    </x:xf>
    <x:xf numFmtId="207" fontId="1" fillId="0" borderId="0" xfId="0" applyNumberFormat="1" applyFont="1" applyFill="1" applyBorder="1" applyAlignment="1">
      <x:alignment horizontal="right" vertical="center"/>
    </x:xf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4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202" fontId="1" fillId="0" borderId="0" xfId="0" applyNumberFormat="1" applyFont="1" applyFill="1" applyBorder="1"/>
    <x:xf numFmtId="203" fontId="1" fillId="0" borderId="0" xfId="0" applyNumberFormat="1" applyFont="1" applyFill="1" applyBorder="1"/>
    <x:xf numFmtId="0" fontId="1" fillId="3" borderId="0" xfId="0" applyNumberFormat="1" applyFont="1" applyFill="1" applyBorder="1"/>
    <x:xf numFmtId="202" fontId="1" fillId="3" borderId="0" xfId="0" applyNumberFormat="1" applyFont="1" applyFill="1" applyBorder="1"/>
    <x:xf numFmtId="203" fontId="1" fillId="3" borderId="0" xfId="0" applyNumberFormat="1" applyFont="1" applyFill="1" applyBorder="1"/>
    <x:xf numFmtId="0" fontId="1" fillId="4" borderId="0" xfId="0" applyNumberFormat="1" applyFont="1" applyFill="1" applyBorder="1"/>
    <x:xf numFmtId="202" fontId="1" fillId="4" borderId="0" xfId="0" applyNumberFormat="1" applyFont="1" applyFill="1" applyBorder="1"/>
    <x:xf numFmtId="203" fontId="1" fillId="4" borderId="0" xfId="0" applyNumberFormat="1" applyFont="1" applyFill="1" applyBorder="1"/>
    <x:xf numFmtId="208" fontId="1" fillId="0" borderId="0" xfId="0" applyNumberFormat="1" applyFont="1" applyFill="1" applyBorder="1"/>
    <x:xf numFmtId="209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9a79ae6cb4e25" /><Relationship Type="http://schemas.openxmlformats.org/officeDocument/2006/relationships/theme" Target="/xl/theme/theme1.xml" Id="R0ab206e90a614c62" /><Relationship Type="http://schemas.microsoft.com/office/2022/11/relationships/FeaturePropertyBag" Target="/xl/featurePropertyBag/featurePropertyBag.xml" Id="R017a58fe4c83435c" /><Relationship Type="http://schemas.openxmlformats.org/officeDocument/2006/relationships/sharedStrings" Target="/xl/sharedStrings.xml" Id="Rf97b6a89d4f24a2d" /><Relationship Type="http://schemas.openxmlformats.org/officeDocument/2006/relationships/worksheet" Target="/xl/worksheets/sheet1.xml" Id="Rd314bdea67824193" /><Relationship Type="http://schemas.openxmlformats.org/officeDocument/2006/relationships/worksheet" Target="/xl/worksheets/sheet2.xml" Id="Rf58fdad8c5d946da" /><Relationship Type="http://schemas.openxmlformats.org/officeDocument/2006/relationships/worksheet" Target="/xl/worksheets/sheet3.xml" Id="R36b31dec34754eb3" /><Relationship Type="http://schemas.openxmlformats.org/officeDocument/2006/relationships/worksheet" Target="/xl/worksheets/sheet4.xml" Id="R833e321264744a03" /><Relationship Type="http://schemas.openxmlformats.org/officeDocument/2006/relationships/worksheet" Target="/xl/worksheets/sheet5.xml" Id="R9b008db98cfc40f5" /><Relationship Type="http://schemas.openxmlformats.org/officeDocument/2006/relationships/worksheet" Target="/xl/worksheets/sheet6.xml" Id="R6962ced426ad428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FoldMetrics" displayName="FoldMetrics" ref="A1:AG22" headerRowCount="1" totalsRowCount="0" totalsRowShown="0">
  <x:tableColumns count="33">
    <x:tableColumn id="1" name="方法"/>
    <x:tableColumn id="2" name="留出切片"/>
    <x:tableColumn id="3" name="真实细胞数"/>
    <x:tableColumn id="4" name="预测细胞数"/>
    <x:tableColumn id="5" name="稀有宏召回25µm"/>
    <x:tableColumn id="6" name="稀有宏召回50µm"/>
    <x:tableColumn id="7" name="稀有宏召回100µm"/>
    <x:tableColumn id="8" name="稀有加权召回100µm"/>
    <x:tableColumn id="9" name="稀有加权精确率100µm"/>
    <x:tableColumn id="10" name="共同稀有类表达PCC"/>
    <x:tableColumn id="11" name="空间表达PCC100µm"/>
    <x:tableColumn id="12" name="空间表达PCC200µm"/>
    <x:tableColumn id="13" name="组织密度TV"/>
    <x:tableColumn id="14" name="局部类型组成JS"/>
    <x:tableColumn id="15" name="类型比例TV"/>
    <x:tableColumn id="16" name="全局均值表达PCC"/>
    <x:tableColumn id="17" name="对称最近邻距离µm"/>
    <x:tableColumn id="18" name="稀有真实细胞数"/>
    <x:tableColumn id="19" name="稀有预测细胞数"/>
    <x:tableColumn id="20" name="缺失类别数"/>
    <x:tableColumn id="21" name="稀有缺失类别数"/>
    <x:tableColumn id="22" name="表达PCC共同稀有类数"/>
    <x:tableColumn id="23" name="薄层来源复制比例"/>
    <x:tableColumn id="24" name="薄层稀有来源复制比例"/>
    <x:tableColumn id="25" name="来源位移中位数µm"/>
    <x:tableColumn id="26" name="XY标准差比"/>
    <x:tableColumn id="27" name="稀有宏精确率25µm"/>
    <x:tableColumn id="28" name="稀有宏精确率50µm"/>
    <x:tableColumn id="29" name="稀有宏精确率100µm"/>
    <x:tableColumn id="30" name="稀有加权召回25µm"/>
    <x:tableColumn id="31" name="稀有加权召回50µm"/>
    <x:tableColumn id="32" name="稀有加权精确率25µm"/>
    <x:tableColumn id="33" name="稀有加权精确率50µ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lassMetrics" displayName="ClassMetrics" ref="A1:U316" headerRowCount="1" totalsRowCount="0" totalsRowShown="0">
  <x:tableColumns count="21">
    <x:tableColumn id="1" name="方法"/>
    <x:tableColumn id="2" name="留出切片"/>
    <x:tableColumn id="3" name="细胞类型"/>
    <x:tableColumn id="4" name="训练细胞数"/>
    <x:tableColumn id="5" name="可见训练丰度"/>
    <x:tableColumn id="6" name="是否稀有"/>
    <x:tableColumn id="7" name="真实细胞数"/>
    <x:tableColumn id="8" name="预测细胞数"/>
    <x:tableColumn id="9" name="真实比例"/>
    <x:tableColumn id="10" name="预测比例"/>
    <x:tableColumn id="11" name="比例误差(pp)"/>
    <x:tableColumn id="12" name="同类召回25µm"/>
    <x:tableColumn id="13" name="同类召回50µm"/>
    <x:tableColumn id="14" name="同类召回100µm"/>
    <x:tableColumn id="15" name="同类精确率25µm"/>
    <x:tableColumn id="16" name="同类精确率50µm"/>
    <x:tableColumn id="17" name="同类精确率100µm"/>
    <x:tableColumn id="18" name="均值log表达PCC"/>
    <x:tableColumn id="19" name="真值到预测均距µm"/>
    <x:tableColumn id="20" name="预测到真值均距µm"/>
    <x:tableColumn id="21" name="预测是否缺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iredControls" displayName="PairedControls" ref="A1:G121" headerRowCount="1" totalsRowCount="0" totalsRowShown="0">
  <x:tableColumns count="7">
    <x:tableColumn id="1" name="比较基线"/>
    <x:tableColumn id="2" name="比较方法"/>
    <x:tableColumn id="3" name="留出切片"/>
    <x:tableColumn id="4" name="指标名称"/>
    <x:tableColumn id="5" name="基线原始值"/>
    <x:tableColumn id="6" name="G real原始值"/>
    <x:tableColumn id="7" name="差值(原始单位)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mpletionStatus" displayName="CompletionStatus" ref="A1:I16" headerRowCount="1" totalsRowCount="0" totalsRowShown="0">
  <x:tableColumns count="9">
    <x:tableColumn id="1" name="阶段"/>
    <x:tableColumn id="2" name="留出切片"/>
    <x:tableColumn id="3" name="条件"/>
    <x:tableColumn id="4" name="本阶段训练轮数"/>
    <x:tableColumn id="5" name="训练步数"/>
    <x:tableColumn id="6" name="全体积生成细胞数"/>
    <x:tableColumn id="7" name="结果状态"/>
    <x:tableColumn id="8" name="检查依据"/>
    <x:tableColumn id="9" name="结果目录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Protocol" displayName="MetricProtocol" ref="A1:B24" headerRowCount="1" totalsRowCount="0" totalsRowShown="0">
  <x:tableColumns count="2">
    <x:tableColumn id="1" name="项目"/>
    <x:tableColumn id="2" name="定义或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b2efa9e0010452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ad75c6c419e41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df7d4a1951c49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bdd4c7df1e4b1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d1a81eb456e40c1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/>
  </x:sheetViews>
  <x:sheetFormatPr defaultRowHeight="15"/>
  <x:cols>
    <x:col min="1" max="1" width="21" hidden="0" customWidth="1"/>
    <x:col min="2" max="2" width="8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</x:cols>
  <x:sheetData>
    <x:row r="2">
      <x:c r="A2" s="28" t="str">
        <x:v>V1 阶段指标结果汇总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</x:row>
    <x:row r="4">
      <x:c r="A4" s="30" t="str">
        <x:v>稀有类：可见训练丰度≤5%；留出1/2/3等权平均；空间评价Z±5µm；2026-10-28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 ht="36" customHeight="1">
      <x:c r="A6" s="6" t="str">
        <x:v>方法</x:v>
      </x:c>
      <x:c r="B6" s="6" t="str">
        <x:v>折数</x:v>
      </x:c>
      <x:c r="C6" s="6" t="str">
        <x:v>宏R25µm</x:v>
      </x:c>
      <x:c r="D6" s="6" t="str">
        <x:v>宏R50µm</x:v>
      </x:c>
      <x:c r="E6" s="6" t="str">
        <x:v>宏R100µm</x:v>
      </x:c>
      <x:c r="F6" s="6" t="str">
        <x:v>加权R100µm</x:v>
      </x:c>
      <x:c r="G6" s="6" t="str">
        <x:v>加权P100µm</x:v>
      </x:c>
      <x:c r="H6" s="6" t="str">
        <x:v>空间表达PCC</x:v>
      </x:c>
      <x:c r="I6" s="6" t="str">
        <x:v>稀有表达PCC</x:v>
      </x:c>
      <x:c r="J6" s="6" t="str">
        <x:v>密度TV</x:v>
      </x:c>
      <x:c r="K6" s="6" t="str">
        <x:v>类型组成JS</x:v>
      </x:c>
    </x:row>
    <x:row r="7" ht="27" customHeight="1">
      <x:c r="A7" s="1" t="str">
        <x:v>DeepSpatial</x:v>
      </x:c>
      <x:c r="B7" s="1" t="n">
        <x:v>3</x:v>
      </x:c>
      <x:c r="C7" s="35" t="n">
        <x:f>AVERAGE('分折指标'!E2,'分折指标'!E3,'分折指标'!E4)</x:f>
        <x:v>0.106717039010289</x:v>
      </x:c>
      <x:c r="D7" s="35" t="n">
        <x:f>AVERAGE('分折指标'!F2,'分折指标'!F3,'分折指标'!F4)</x:f>
        <x:v>0.21815762807463734</x:v>
      </x:c>
      <x:c r="E7" s="35" t="n">
        <x:f>AVERAGE('分折指标'!G2,'分折指标'!G3,'分折指标'!G4)</x:f>
        <x:v>0.41575849692166167</x:v>
      </x:c>
      <x:c r="F7" s="35" t="n">
        <x:f>AVERAGE('分折指标'!H2,'分折指标'!H3,'分折指标'!H4)</x:f>
        <x:v>0.6775205681627613</x:v>
      </x:c>
      <x:c r="G7" s="35" t="n">
        <x:f>AVERAGE('分折指标'!I2,'分折指标'!I3,'分折指标'!I4)</x:f>
        <x:v>0.7115808192519126</x:v>
      </x:c>
      <x:c r="H7" s="36" t="n">
        <x:f>AVERAGE('分折指标'!K2,'分折指标'!K3,'分折指标'!K4)</x:f>
        <x:v>0.18188017356372</x:v>
      </x:c>
      <x:c r="I7" s="36" t="n">
        <x:f>AVERAGE('分折指标'!J2,'分折指标'!J3,'分折指标'!J4)</x:f>
        <x:v>0.9365301456129517</x:v>
      </x:c>
      <x:c r="J7" s="36" t="n">
        <x:f>AVERAGE('分折指标'!M2,'分折指标'!M3,'分折指标'!M4)</x:f>
        <x:v>0.30175348154876197</x:v>
      </x:c>
      <x:c r="K7" s="36" t="n">
        <x:f>AVERAGE('分折指标'!N2,'分折指标'!N3,'分折指标'!N4)</x:f>
        <x:v>0.29364780761024734</x:v>
      </x:c>
    </x:row>
    <x:row r="8" ht="27" customHeight="1">
      <x:c r="A8" s="1" t="str">
        <x:v>V1</x:v>
      </x:c>
      <x:c r="B8" s="1" t="n">
        <x:v>3</x:v>
      </x:c>
      <x:c r="C8" s="35" t="n">
        <x:f>AVERAGE('分折指标'!E5,'分折指标'!E6,'分折指标'!E7)</x:f>
        <x:v>0.13837089510916264</x:v>
      </x:c>
      <x:c r="D8" s="35" t="n">
        <x:f>AVERAGE('分折指标'!F5,'分折指标'!F6,'分折指标'!F7)</x:f>
        <x:v>0.2510268266136167</x:v>
      </x:c>
      <x:c r="E8" s="35" t="n">
        <x:f>AVERAGE('分折指标'!G5,'分折指标'!G6,'分折指标'!G7)</x:f>
        <x:v>0.45859775003811604</x:v>
      </x:c>
      <x:c r="F8" s="35" t="n">
        <x:f>AVERAGE('分折指标'!H5,'分折指标'!H6,'分折指标'!H7)</x:f>
        <x:v>0.763139332147885</x:v>
      </x:c>
      <x:c r="G8" s="35" t="n">
        <x:f>AVERAGE('分折指标'!I5,'分折指标'!I6,'分折指标'!I7)</x:f>
        <x:v>0.7937069199725001</x:v>
      </x:c>
      <x:c r="H8" s="36" t="n">
        <x:f>AVERAGE('分折指标'!K5,'分折指标'!K6,'分折指标'!K7)</x:f>
        <x:v>0.38767441245490697</x:v>
      </x:c>
      <x:c r="I8" s="36" t="n">
        <x:f>AVERAGE('分折指标'!J5,'分折指标'!J6,'分折指标'!J7)</x:f>
        <x:v>0.9364118494280097</x:v>
      </x:c>
      <x:c r="J8" s="36" t="n">
        <x:f>AVERAGE('分折指标'!M5,'分折指标'!M6,'分折指标'!M7)</x:f>
        <x:v>0.1711121682000757</x:v>
      </x:c>
      <x:c r="K8" s="36" t="n">
        <x:f>AVERAGE('分折指标'!N5,'分折指标'!N6,'分折指标'!N7)</x:f>
        <x:v>0.22347763639207233</x:v>
      </x:c>
    </x:row>
    <x:row r="9" ht="27" customHeight="1">
      <x:c r="A9" s="1" t="str">
        <x:v>S</x:v>
      </x:c>
      <x:c r="B9" s="1" t="n">
        <x:v>3</x:v>
      </x:c>
      <x:c r="C9" s="35" t="n">
        <x:f>AVERAGE('分折指标'!E8,'分折指标'!E9,'分折指标'!E10)</x:f>
        <x:v>0.14042121774800867</x:v>
      </x:c>
      <x:c r="D9" s="35" t="n">
        <x:f>AVERAGE('分折指标'!F8,'分折指标'!F9,'分折指标'!F10)</x:f>
        <x:v>0.240695330215607</x:v>
      </x:c>
      <x:c r="E9" s="35" t="n">
        <x:f>AVERAGE('分折指标'!G8,'分折指标'!G9,'分折指标'!G10)</x:f>
        <x:v>0.4601094551796143</x:v>
      </x:c>
      <x:c r="F9" s="35" t="n">
        <x:f>AVERAGE('分折指标'!H8,'分折指标'!H9,'分折指标'!H10)</x:f>
        <x:v>0.767968960422342</x:v>
      </x:c>
      <x:c r="G9" s="35" t="n">
        <x:f>AVERAGE('分折指标'!I8,'分折指标'!I9,'分折指标'!I10)</x:f>
        <x:v>0.806346354832488</x:v>
      </x:c>
      <x:c r="H9" s="36" t="n">
        <x:f>AVERAGE('分折指标'!K8,'分折指标'!K9,'分折指标'!K10)</x:f>
        <x:v>0.374358604732456</x:v>
      </x:c>
      <x:c r="I9" s="36" t="n">
        <x:f>AVERAGE('分折指标'!J8,'分折指标'!J9,'分折指标'!J10)</x:f>
        <x:v>0.9437874670656133</x:v>
      </x:c>
      <x:c r="J9" s="36" t="n">
        <x:f>AVERAGE('分折指标'!M8,'分折指标'!M9,'分折指标'!M10)</x:f>
        <x:v>0.16708564643388435</x:v>
      </x:c>
      <x:c r="K9" s="36" t="n">
        <x:f>AVERAGE('分折指标'!N8,'分折指标'!N9,'分折指标'!N10)</x:f>
        <x:v>0.22354643421697232</x:v>
      </x:c>
    </x:row>
    <x:row r="10" ht="27" customHeight="1">
      <x:c r="A10" s="40" t="str">
        <x:v>Source copy</x:v>
      </x:c>
      <x:c r="B10" s="40" t="n">
        <x:v>3</x:v>
      </x:c>
      <x:c r="C10" s="41" t="n">
        <x:f>AVERAGE('分折指标'!E11,'分折指标'!E12,'分折指标'!E13)</x:f>
        <x:v>0.13491547248317834</x:v>
      </x:c>
      <x:c r="D10" s="41" t="n">
        <x:f>AVERAGE('分折指标'!F11,'分折指标'!F12,'分折指标'!F13)</x:f>
        <x:v>0.2711516377626417</x:v>
      </x:c>
      <x:c r="E10" s="41" t="n">
        <x:f>AVERAGE('分折指标'!G11,'分折指标'!G12,'分折指标'!G13)</x:f>
        <x:v>0.49785705044602135</x:v>
      </x:c>
      <x:c r="F10" s="41" t="n">
        <x:f>AVERAGE('分折指标'!H11,'分折指标'!H12,'分折指标'!H13)</x:f>
        <x:v>0.769906666297273</x:v>
      </x:c>
      <x:c r="G10" s="41" t="n">
        <x:f>AVERAGE('分折指标'!I11,'分折指标'!I12,'分折指标'!I13)</x:f>
        <x:v>0.8036990016288668</x:v>
      </x:c>
      <x:c r="H10" s="42" t="n">
        <x:f>AVERAGE('分折指标'!K11,'分折指标'!K12,'分折指标'!K13)</x:f>
        <x:v>0.3701361312355163</x:v>
      </x:c>
      <x:c r="I10" s="42" t="n">
        <x:f>AVERAGE('分折指标'!J11,'分折指标'!J12,'分折指标'!J13)</x:f>
        <x:v>0.936359402673852</x:v>
      </x:c>
      <x:c r="J10" s="42" t="n">
        <x:f>AVERAGE('分折指标'!M11,'分折指标'!M12,'分折指标'!M13)</x:f>
        <x:v>0.14715905833195267</x:v>
      </x:c>
      <x:c r="K10" s="42" t="n">
        <x:f>AVERAGE('分折指标'!N11,'分折指标'!N12,'分折指标'!N13)</x:f>
        <x:v>0.22272229906334498</x:v>
      </x:c>
    </x:row>
    <x:row r="11" ht="27" customHeight="1">
      <x:c r="A11" s="37" t="str">
        <x:v>G real</x:v>
      </x:c>
      <x:c r="B11" s="37" t="n">
        <x:v>3</x:v>
      </x:c>
      <x:c r="C11" s="38" t="n">
        <x:f>AVERAGE('分折指标'!E14,'分折指标'!E15,'分折指标'!E16)</x:f>
        <x:v>0.141041381451395</x:v>
      </x:c>
      <x:c r="D11" s="38" t="n">
        <x:f>AVERAGE('分折指标'!F14,'分折指标'!F15,'分折指标'!F16)</x:f>
        <x:v>0.27007266403631564</x:v>
      </x:c>
      <x:c r="E11" s="38" t="n">
        <x:f>AVERAGE('分折指标'!G14,'分折指标'!G15,'分折指标'!G16)</x:f>
        <x:v>0.4979124236431134</x:v>
      </x:c>
      <x:c r="F11" s="38" t="n">
        <x:f>AVERAGE('分折指标'!H14,'分折指标'!H15,'分折指标'!H16)</x:f>
        <x:v>0.7692597188158476</x:v>
      </x:c>
      <x:c r="G11" s="38" t="n">
        <x:f>AVERAGE('分折指标'!I14,'分折指标'!I15,'分折指标'!I16)</x:f>
        <x:v>0.8100984481451631</x:v>
      </x:c>
      <x:c r="H11" s="39" t="n">
        <x:f>AVERAGE('分折指标'!K14,'分折指标'!K15,'分折指标'!K16)</x:f>
        <x:v>0.361979063249349</x:v>
      </x:c>
      <x:c r="I11" s="39" t="n">
        <x:f>AVERAGE('分折指标'!J14,'分折指标'!J15,'分折指标'!J16)</x:f>
        <x:v>0.9366651216597793</x:v>
      </x:c>
      <x:c r="J11" s="39" t="n">
        <x:f>AVERAGE('分折指标'!M14,'分折指标'!M15,'分折指标'!M16)</x:f>
        <x:v>0.14663408787116264</x:v>
      </x:c>
      <x:c r="K11" s="39" t="n">
        <x:f>AVERAGE('分折指标'!N14,'分折指标'!N15,'分折指标'!N16)</x:f>
        <x:v>0.22239119986220268</x:v>
      </x:c>
    </x:row>
    <x:row r="12" ht="27" customHeight="1">
      <x:c r="A12" s="1" t="str">
        <x:v>G zero</x:v>
      </x:c>
      <x:c r="B12" s="1" t="n">
        <x:v>3</x:v>
      </x:c>
      <x:c r="C12" s="35" t="n">
        <x:f>AVERAGE('分折指标'!E17,'分折指标'!E18,'分折指标'!E19)</x:f>
        <x:v>0.13204646744499035</x:v>
      </x:c>
      <x:c r="D12" s="35" t="n">
        <x:f>AVERAGE('分折指标'!F17,'分折指标'!F18,'分折指标'!F19)</x:f>
        <x:v>0.2738523989266927</x:v>
      </x:c>
      <x:c r="E12" s="35" t="n">
        <x:f>AVERAGE('分折指标'!G17,'分折指标'!G18,'分折指标'!G19)</x:f>
        <x:v>0.4984886381007883</x:v>
      </x:c>
      <x:c r="F12" s="35" t="n">
        <x:f>AVERAGE('分折指标'!H17,'分折指标'!H18,'分折指标'!H19)</x:f>
        <x:v>0.7744465990599364</x:v>
      </x:c>
      <x:c r="G12" s="35" t="n">
        <x:f>AVERAGE('分折指标'!I17,'分折指标'!I18,'分折指标'!I19)</x:f>
        <x:v>0.8075679662490017</x:v>
      </x:c>
      <x:c r="H12" s="36" t="n">
        <x:f>AVERAGE('分折指标'!K17,'分折指标'!K18,'分折指标'!K19)</x:f>
        <x:v>0.3728982172649144</x:v>
      </x:c>
      <x:c r="I12" s="36" t="n">
        <x:f>AVERAGE('分折指标'!J17,'分折指标'!J18,'分折指标'!J19)</x:f>
        <x:v>0.9368062988593584</x:v>
      </x:c>
      <x:c r="J12" s="36" t="n">
        <x:f>AVERAGE('分折指标'!M17,'分折指标'!M18,'分折指标'!M19)</x:f>
        <x:v>0.14586925746004734</x:v>
      </x:c>
      <x:c r="K12" s="36" t="n">
        <x:f>AVERAGE('分折指标'!N17,'分折指标'!N18,'分折指标'!N19)</x:f>
        <x:v>0.22188402301308496</x:v>
      </x:c>
    </x:row>
    <x:row r="13" ht="27" customHeight="1">
      <x:c r="A13" s="1" t="str">
        <x:v>G shuffle</x:v>
      </x:c>
      <x:c r="B13" s="1" t="n">
        <x:v>3</x:v>
      </x:c>
      <x:c r="C13" s="35" t="n">
        <x:f>AVERAGE('分折指标'!E20,'分折指标'!E21,'分折指标'!E22)</x:f>
        <x:v>0.13738961102244632</x:v>
      </x:c>
      <x:c r="D13" s="35" t="n">
        <x:f>AVERAGE('分折指标'!F20,'分折指标'!F21,'分折指标'!F22)</x:f>
        <x:v>0.274325062609796</x:v>
      </x:c>
      <x:c r="E13" s="35" t="n">
        <x:f>AVERAGE('分折指标'!G20,'分折指标'!G21,'分折指标'!G22)</x:f>
        <x:v>0.49762377015524767</x:v>
      </x:c>
      <x:c r="F13" s="35" t="n">
        <x:f>AVERAGE('分折指标'!H20,'分折指标'!H21,'分折指标'!H22)</x:f>
        <x:v>0.7731395130197406</x:v>
      </x:c>
      <x:c r="G13" s="35" t="n">
        <x:f>AVERAGE('分折指标'!I20,'分折指标'!I21,'分折指标'!I22)</x:f>
        <x:v>0.8075609595388004</x:v>
      </x:c>
      <x:c r="H13" s="36" t="n">
        <x:f>AVERAGE('分折指标'!K20,'分折指标'!K21,'分折指标'!K22)</x:f>
        <x:v>0.372015143661615</x:v>
      </x:c>
      <x:c r="I13" s="36" t="n">
        <x:f>AVERAGE('分折指标'!J20,'分折指标'!J21,'分折指标'!J22)</x:f>
        <x:v>0.9368942911820367</x:v>
      </x:c>
      <x:c r="J13" s="36" t="n">
        <x:f>AVERAGE('分折指标'!M20,'分折指标'!M21,'分折指标'!M22)</x:f>
        <x:v>0.14485152194865433</x:v>
      </x:c>
      <x:c r="K13" s="36" t="n">
        <x:f>AVERAGE('分折指标'!N20,'分折指标'!N21,'分折指标'!N22)</x:f>
        <x:v>0.22194984359890135</x:v>
      </x:c>
    </x:row>
    <x:row r="14">
      <x:c r="A14" s="1"/>
      <x:c r="B14" s="1"/>
      <x:c r="C14" s="1"/>
      <x:c r="D14" s="1"/>
      <x:c r="E14" s="1"/>
      <x:c r="F14" s="1"/>
      <x:c r="G14" s="1"/>
      <x:c r="H14" s="1"/>
      <x:c r="I14" s="1"/>
      <x:c r="J14" s="1"/>
      <x:c r="K14" s="1"/>
    </x:row>
    <x:row r="15">
      <x:c r="A15" s="1"/>
      <x:c r="B15" s="1"/>
      <x:c r="C15" s="1"/>
      <x:c r="D15" s="1"/>
      <x:c r="E15" s="1"/>
      <x:c r="F15" s="1"/>
      <x:c r="G15" s="1"/>
      <x:c r="H15" s="1"/>
      <x:c r="I15" s="1"/>
      <x:c r="J15" s="1"/>
      <x:c r="K15" s="1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</x:row>
    <x:row r="17">
      <x:c r="A17" s="1" t="str">
        <x:v>切片间标准差（STDEV.S，非多随机种子标准差）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</x:row>
    <x:row r="18" ht="36" customHeight="1">
      <x:c r="A18" s="6" t="str">
        <x:v>方法</x:v>
      </x:c>
      <x:c r="B18" s="6" t="str">
        <x:v>折数</x:v>
      </x:c>
      <x:c r="C18" s="6" t="str">
        <x:v>宏R25µm</x:v>
      </x:c>
      <x:c r="D18" s="6" t="str">
        <x:v>宏R50µm</x:v>
      </x:c>
      <x:c r="E18" s="6" t="str">
        <x:v>宏R100µm</x:v>
      </x:c>
      <x:c r="F18" s="6" t="str">
        <x:v>加权R100µm</x:v>
      </x:c>
      <x:c r="G18" s="6" t="str">
        <x:v>加权P100µm</x:v>
      </x:c>
      <x:c r="H18" s="6" t="str">
        <x:v>空间表达PCC</x:v>
      </x:c>
      <x:c r="I18" s="6" t="str">
        <x:v>稀有表达PCC</x:v>
      </x:c>
      <x:c r="J18" s="6" t="str">
        <x:v>密度TV</x:v>
      </x:c>
      <x:c r="K18" s="6" t="str">
        <x:v>类型组成JS</x:v>
      </x:c>
    </x:row>
    <x:row r="19" ht="27" customHeight="1">
      <x:c r="A19" s="1" t="str">
        <x:v>DeepSpatial</x:v>
      </x:c>
      <x:c r="B19" s="1" t="n">
        <x:v>3</x:v>
      </x:c>
      <x:c r="C19" s="35" t="n">
        <x:f>_xlfn.STDEV.S('分折指标'!E2,'分折指标'!E3,'分折指标'!E4)</x:f>
        <x:v>0.010136798658685537</x:v>
      </x:c>
      <x:c r="D19" s="35" t="n">
        <x:f>_xlfn.STDEV.S('分折指标'!F2,'分折指标'!F3,'分折指标'!F4)</x:f>
        <x:v>0.00463487835866751</x:v>
      </x:c>
      <x:c r="E19" s="35" t="n">
        <x:f>_xlfn.STDEV.S('分折指标'!G2,'分折指标'!G3,'分折指标'!G4)</x:f>
        <x:v>0.011661926087045275</x:v>
      </x:c>
      <x:c r="F19" s="35" t="n">
        <x:f>_xlfn.STDEV.S('分折指标'!H2,'分折指标'!H3,'分折指标'!H4)</x:f>
        <x:v>0.009412757287751974</x:v>
      </x:c>
      <x:c r="G19" s="35" t="n">
        <x:f>_xlfn.STDEV.S('分折指标'!I2,'分折指标'!I3,'分折指标'!I4)</x:f>
        <x:v>0.028902117946210778</x:v>
      </x:c>
      <x:c r="H19" s="36" t="n">
        <x:f>_xlfn.STDEV.S('分折指标'!K2,'分折指标'!K3,'分折指标'!K4)</x:f>
        <x:v>0.0323665855914934</x:v>
      </x:c>
      <x:c r="I19" s="36" t="n">
        <x:f>_xlfn.STDEV.S('分折指标'!J2,'分折指标'!J3,'分折指标'!J4)</x:f>
        <x:v>0.00667137031568145</x:v>
      </x:c>
      <x:c r="J19" s="36" t="n">
        <x:f>_xlfn.STDEV.S('分折指标'!M2,'分折指标'!M3,'分折指标'!M4)</x:f>
        <x:v>0.02370114055961396</x:v>
      </x:c>
      <x:c r="K19" s="36" t="n">
        <x:f>_xlfn.STDEV.S('分折指标'!N2,'分折指标'!N3,'分折指标'!N4)</x:f>
        <x:v>0.014888891132382774</x:v>
      </x:c>
    </x:row>
    <x:row r="20" ht="27" customHeight="1">
      <x:c r="A20" s="1" t="str">
        <x:v>V1</x:v>
      </x:c>
      <x:c r="B20" s="1" t="n">
        <x:v>3</x:v>
      </x:c>
      <x:c r="C20" s="35" t="n">
        <x:f>_xlfn.STDEV.S('分折指标'!E5,'分折指标'!E6,'分折指标'!E7)</x:f>
        <x:v>0.014634567542236193</x:v>
      </x:c>
      <x:c r="D20" s="35" t="n">
        <x:f>_xlfn.STDEV.S('分折指标'!F5,'分折指标'!F6,'分折指标'!F7)</x:f>
        <x:v>0.015878594292681562</x:v>
      </x:c>
      <x:c r="E20" s="35" t="n">
        <x:f>_xlfn.STDEV.S('分折指标'!G5,'分折指标'!G6,'分折指标'!G7)</x:f>
        <x:v>0.014666336805000083</x:v>
      </x:c>
      <x:c r="F20" s="35" t="n">
        <x:f>_xlfn.STDEV.S('分折指标'!H5,'分折指标'!H6,'分折指标'!H7)</x:f>
        <x:v>0.008493505523846074</x:v>
      </x:c>
      <x:c r="G20" s="35" t="n">
        <x:f>_xlfn.STDEV.S('分折指标'!I5,'分折指标'!I6,'分折指标'!I7)</x:f>
        <x:v>0.02000240288484827</x:v>
      </x:c>
      <x:c r="H20" s="36" t="n">
        <x:f>_xlfn.STDEV.S('分折指标'!K5,'分折指标'!K6,'分折指标'!K7)</x:f>
        <x:v>0.0009993358474451345</x:v>
      </x:c>
      <x:c r="I20" s="36" t="n">
        <x:f>_xlfn.STDEV.S('分折指标'!J5,'分折指标'!J6,'分折指标'!J7)</x:f>
        <x:v>0.009768304550907984</x:v>
      </x:c>
      <x:c r="J20" s="36" t="n">
        <x:f>_xlfn.STDEV.S('分折指标'!M5,'分折指标'!M6,'分折指标'!M7)</x:f>
        <x:v>0.014853464500576957</x:v>
      </x:c>
      <x:c r="K20" s="36" t="n">
        <x:f>_xlfn.STDEV.S('分折指标'!N5,'分折指标'!N6,'分折指标'!N7)</x:f>
        <x:v>0.007607187091654926</x:v>
      </x:c>
    </x:row>
    <x:row r="21" ht="27" customHeight="1">
      <x:c r="A21" s="1" t="str">
        <x:v>S</x:v>
      </x:c>
      <x:c r="B21" s="1" t="n">
        <x:v>3</x:v>
      </x:c>
      <x:c r="C21" s="35" t="n">
        <x:f>_xlfn.STDEV.S('分折指标'!E8,'分折指标'!E9,'分折指标'!E10)</x:f>
        <x:v>0.007850108884230413</x:v>
      </x:c>
      <x:c r="D21" s="35" t="n">
        <x:f>_xlfn.STDEV.S('分折指标'!F8,'分折指标'!F9,'分折指标'!F10)</x:f>
        <x:v>0.0163761360197919</x:v>
      </x:c>
      <x:c r="E21" s="35" t="n">
        <x:f>_xlfn.STDEV.S('分折指标'!G8,'分折指标'!G9,'分折指标'!G10)</x:f>
        <x:v>0.024146404292867768</x:v>
      </x:c>
      <x:c r="F21" s="35" t="n">
        <x:f>_xlfn.STDEV.S('分折指标'!H8,'分折指标'!H9,'分折指标'!H10)</x:f>
        <x:v>0.014911495914730954</x:v>
      </x:c>
      <x:c r="G21" s="35" t="n">
        <x:f>_xlfn.STDEV.S('分折指标'!I8,'分折指标'!I9,'分折指标'!I10)</x:f>
        <x:v>0.0039037466180573506</x:v>
      </x:c>
      <x:c r="H21" s="36" t="n">
        <x:f>_xlfn.STDEV.S('分折指标'!K8,'分折指标'!K9,'分折指标'!K10)</x:f>
        <x:v>0.01732616011696724</x:v>
      </x:c>
      <x:c r="I21" s="36" t="n">
        <x:f>_xlfn.STDEV.S('分折指标'!J8,'分折指标'!J9,'分折指标'!J10)</x:f>
        <x:v>0.008426751325494426</x:v>
      </x:c>
      <x:c r="J21" s="36" t="n">
        <x:f>_xlfn.STDEV.S('分折指标'!M8,'分折指标'!M9,'分折指标'!M10)</x:f>
        <x:v>0.014652484774926536</x:v>
      </x:c>
      <x:c r="K21" s="36" t="n">
        <x:f>_xlfn.STDEV.S('分折指标'!N8,'分折指标'!N9,'分折指标'!N10)</x:f>
        <x:v>0.005720433631651848</x:v>
      </x:c>
    </x:row>
    <x:row r="22" ht="27" customHeight="1">
      <x:c r="A22" s="1" t="str">
        <x:v>Source copy</x:v>
      </x:c>
      <x:c r="B22" s="1" t="n">
        <x:v>3</x:v>
      </x:c>
      <x:c r="C22" s="35" t="n">
        <x:f>_xlfn.STDEV.S('分折指标'!E11,'分折指标'!E12,'分折指标'!E13)</x:f>
        <x:v>0.019030310435352197</x:v>
      </x:c>
      <x:c r="D22" s="35" t="n">
        <x:f>_xlfn.STDEV.S('分折指标'!F11,'分折指标'!F12,'分折指标'!F13)</x:f>
        <x:v>0.01787054164273076</x:v>
      </x:c>
      <x:c r="E22" s="35" t="n">
        <x:f>_xlfn.STDEV.S('分折指标'!G11,'分折指标'!G12,'分折指标'!G13)</x:f>
        <x:v>0.058668575657398477</x:v>
      </x:c>
      <x:c r="F22" s="35" t="n">
        <x:f>_xlfn.STDEV.S('分折指标'!H11,'分折指标'!H12,'分折指标'!H13)</x:f>
        <x:v>0.014348368059471393</x:v>
      </x:c>
      <x:c r="G22" s="35" t="n">
        <x:f>_xlfn.STDEV.S('分折指标'!I11,'分折指标'!I12,'分折指标'!I13)</x:f>
        <x:v>0.02674897914898638</x:v>
      </x:c>
      <x:c r="H22" s="36" t="n">
        <x:f>_xlfn.STDEV.S('分折指标'!K11,'分折指标'!K12,'分折指标'!K13)</x:f>
        <x:v>0.013237594120378641</x:v>
      </x:c>
      <x:c r="I22" s="36" t="n">
        <x:f>_xlfn.STDEV.S('分折指标'!J11,'分折指标'!J12,'分折指标'!J13)</x:f>
        <x:v>0.007648070920235072</x:v>
      </x:c>
      <x:c r="J22" s="36" t="n">
        <x:f>_xlfn.STDEV.S('分折指标'!M11,'分折指标'!M12,'分折指标'!M13)</x:f>
        <x:v>0.0051923264544625645</x:v>
      </x:c>
      <x:c r="K22" s="36" t="n">
        <x:f>_xlfn.STDEV.S('分折指标'!N11,'分折指标'!N12,'分折指标'!N13)</x:f>
        <x:v>0.003980355719654974</x:v>
      </x:c>
    </x:row>
    <x:row r="23" ht="27" customHeight="1">
      <x:c r="A23" s="1" t="str">
        <x:v>G real</x:v>
      </x:c>
      <x:c r="B23" s="1" t="n">
        <x:v>3</x:v>
      </x:c>
      <x:c r="C23" s="35" t="n">
        <x:f>_xlfn.STDEV.S('分折指标'!E14,'分折指标'!E15,'分折指标'!E16)</x:f>
        <x:v>0.01717530349376972</x:v>
      </x:c>
      <x:c r="D23" s="35" t="n">
        <x:f>_xlfn.STDEV.S('分折指标'!F14,'分折指标'!F15,'分折指标'!F16)</x:f>
        <x:v>0.023199823994689336</x:v>
      </x:c>
      <x:c r="E23" s="35" t="n">
        <x:f>_xlfn.STDEV.S('分折指标'!G14,'分折指标'!G15,'分折指标'!G16)</x:f>
        <x:v>0.05667029416474119</x:v>
      </x:c>
      <x:c r="F23" s="35" t="n">
        <x:f>_xlfn.STDEV.S('分折指标'!H14,'分折指标'!H15,'分折指标'!H16)</x:f>
        <x:v>0.01468317101167795</x:v>
      </x:c>
      <x:c r="G23" s="35" t="n">
        <x:f>_xlfn.STDEV.S('分折指标'!I14,'分折指标'!I15,'分折指标'!I16)</x:f>
        <x:v>0.023129425370377106</x:v>
      </x:c>
      <x:c r="H23" s="36" t="n">
        <x:f>_xlfn.STDEV.S('分折指标'!K14,'分折指标'!K15,'分折指标'!K16)</x:f>
        <x:v>0.00866675020341838</x:v>
      </x:c>
      <x:c r="I23" s="36" t="n">
        <x:f>_xlfn.STDEV.S('分折指标'!J14,'分折指标'!J15,'分折指标'!J16)</x:f>
        <x:v>0.006197366169176997</x:v>
      </x:c>
      <x:c r="J23" s="36" t="n">
        <x:f>_xlfn.STDEV.S('分折指标'!M14,'分折指标'!M15,'分折指标'!M16)</x:f>
        <x:v>0.007348402301226602</x:v>
      </x:c>
      <x:c r="K23" s="36" t="n">
        <x:f>_xlfn.STDEV.S('分折指标'!N14,'分折指标'!N15,'分折指标'!N16)</x:f>
        <x:v>0.0036339612288179396</x:v>
      </x:c>
    </x:row>
    <x:row r="24" ht="27" customHeight="1">
      <x:c r="A24" s="1" t="str">
        <x:v>G zero</x:v>
      </x:c>
      <x:c r="B24" s="1" t="n">
        <x:v>3</x:v>
      </x:c>
      <x:c r="C24" s="35" t="n">
        <x:f>_xlfn.STDEV.S('分折指标'!E17,'分折指标'!E18,'分折指标'!E19)</x:f>
        <x:v>0.0037561812661229725</x:v>
      </x:c>
      <x:c r="D24" s="35" t="n">
        <x:f>_xlfn.STDEV.S('分折指标'!F17,'分折指标'!F18,'分折指标'!F19)</x:f>
        <x:v>0.020606312369421308</x:v>
      </x:c>
      <x:c r="E24" s="35" t="n">
        <x:f>_xlfn.STDEV.S('分折指标'!G17,'分折指标'!G18,'分折指标'!G19)</x:f>
        <x:v>0.0524110822879006</x:v>
      </x:c>
      <x:c r="F24" s="35" t="n">
        <x:f>_xlfn.STDEV.S('分折指标'!H17,'分折指标'!H18,'分折指标'!H19)</x:f>
        <x:v>0.008932860538216847</x:v>
      </x:c>
      <x:c r="G24" s="35" t="n">
        <x:f>_xlfn.STDEV.S('分折指标'!I17,'分折指标'!I18,'分折指标'!I19)</x:f>
        <x:v>0.022635889965720662</x:v>
      </x:c>
      <x:c r="H24" s="36" t="n">
        <x:f>_xlfn.STDEV.S('分折指标'!K17,'分折指标'!K18,'分折指标'!K19)</x:f>
        <x:v>0.014065684371920368</x:v>
      </x:c>
      <x:c r="I24" s="36" t="n">
        <x:f>_xlfn.STDEV.S('分折指标'!J17,'分折指标'!J18,'分折指标'!J19)</x:f>
        <x:v>0.0067067210056040655</x:v>
      </x:c>
      <x:c r="J24" s="36" t="n">
        <x:f>_xlfn.STDEV.S('分折指标'!M17,'分折指标'!M18,'分折指标'!M19)</x:f>
        <x:v>0.0061580001035547016</x:v>
      </x:c>
      <x:c r="K24" s="36" t="n">
        <x:f>_xlfn.STDEV.S('分折指标'!N17,'分折指标'!N18,'分折指标'!N19)</x:f>
        <x:v>0.0038989260396569197</x:v>
      </x:c>
    </x:row>
    <x:row r="25" ht="27" customHeight="1">
      <x:c r="A25" s="1" t="str">
        <x:v>G shuffle</x:v>
      </x:c>
      <x:c r="B25" s="1" t="n">
        <x:v>3</x:v>
      </x:c>
      <x:c r="C25" s="35" t="n">
        <x:f>_xlfn.STDEV.S('分折指标'!E20,'分折指标'!E21,'分折指标'!E22)</x:f>
        <x:v>0.018993200362984002</x:v>
      </x:c>
      <x:c r="D25" s="35" t="n">
        <x:f>_xlfn.STDEV.S('分折指标'!F20,'分折指标'!F21,'分折指标'!F22)</x:f>
        <x:v>0.01971500219564132</x:v>
      </x:c>
      <x:c r="E25" s="35" t="n">
        <x:f>_xlfn.STDEV.S('分折指标'!G20,'分折指标'!G21,'分折指标'!G22)</x:f>
        <x:v>0.05712785050964556</x:v>
      </x:c>
      <x:c r="F25" s="35" t="n">
        <x:f>_xlfn.STDEV.S('分折指标'!H20,'分折指标'!H21,'分折指标'!H22)</x:f>
        <x:v>0.013774550807139742</x:v>
      </x:c>
      <x:c r="G25" s="35" t="n">
        <x:f>_xlfn.STDEV.S('分折指标'!I20,'分折指标'!I21,'分折指标'!I22)</x:f>
        <x:v>0.021320218173367617</x:v>
      </x:c>
      <x:c r="H25" s="36" t="n">
        <x:f>_xlfn.STDEV.S('分折指标'!K20,'分折指标'!K21,'分折指标'!K22)</x:f>
        <x:v>0.012896774691804983</x:v>
      </x:c>
      <x:c r="I25" s="36" t="n">
        <x:f>_xlfn.STDEV.S('分折指标'!J20,'分折指标'!J21,'分折指标'!J22)</x:f>
        <x:v>0.0058089398930720945</x:v>
      </x:c>
      <x:c r="J25" s="36" t="n">
        <x:f>_xlfn.STDEV.S('分折指标'!M20,'分折指标'!M21,'分折指标'!M22)</x:f>
        <x:v>0.006442022764563849</x:v>
      </x:c>
      <x:c r="K25" s="36" t="n">
        <x:f>_xlfn.STDEV.S('分折指标'!N20,'分折指标'!N21,'分折指标'!N22)</x:f>
        <x:v>0.0038646616009960235</x:v>
      </x:c>
    </x:row>
    <x:row r="26">
      <x:c r="A26" s="1"/>
      <x:c r="B26" s="1"/>
      <x:c r="C26" s="1"/>
      <x:c r="D26" s="1"/>
      <x:c r="E26" s="1"/>
      <x:c r="F26" s="1"/>
      <x:c r="G26" s="1"/>
      <x:c r="H26" s="1"/>
      <x:c r="I26" s="1"/>
      <x:c r="J26" s="1"/>
      <x:c r="K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</x:row>
    <x:row r="28">
      <x:c r="A28" s="1" t="str">
        <x:v>G real 与同折对照的均值差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</x:row>
    <x:row r="29" ht="36" customHeight="1">
      <x:c r="A29" s="6" t="str">
        <x:v>比较基线</x:v>
      </x:c>
      <x:c r="B29" s="6" t="str">
        <x:v>宏R100差(pp)</x:v>
      </x:c>
      <x:c r="C29" s="6" t="str">
        <x:v>加权R100差(pp)</x:v>
      </x:c>
      <x:c r="D29" s="6" t="str">
        <x:v>空间PCC差</x:v>
      </x:c>
      <x:c r="E29" s="6" t="str">
        <x:v>密度TV差</x:v>
      </x:c>
      <x:c r="F29" s="1"/>
      <x:c r="G29" s="1"/>
      <x:c r="H29" s="1"/>
      <x:c r="I29" s="1"/>
      <x:c r="J29" s="1"/>
      <x:c r="K29" s="1"/>
    </x:row>
    <x:row r="30">
      <x:c r="A30" s="1" t="str">
        <x:v>S</x:v>
      </x:c>
      <x:c r="B30" s="43" t="n">
        <x:f>100*(E11-E9)</x:f>
        <x:v>3.7802968463499065</x:v>
      </x:c>
      <x:c r="C30" s="43" t="n">
        <x:f>100*(F11-F9)</x:f>
        <x:v>0.12907583935056754</x:v>
      </x:c>
      <x:c r="D30" s="44" t="n">
        <x:f>H11-H9</x:f>
        <x:v>-0.012379541483107048</x:v>
      </x:c>
      <x:c r="E30" s="44" t="n">
        <x:f>J11-J9</x:f>
        <x:v>-0.02045155856272171</x:v>
      </x:c>
      <x:c r="F30" s="1"/>
      <x:c r="G30" s="1"/>
      <x:c r="H30" s="1"/>
      <x:c r="I30" s="1"/>
      <x:c r="J30" s="1"/>
      <x:c r="K30" s="1"/>
    </x:row>
    <x:row r="31">
      <x:c r="A31" s="1" t="str">
        <x:v>Source copy</x:v>
      </x:c>
      <x:c r="B31" s="43" t="n">
        <x:f>100*(E11-E10)</x:f>
        <x:v>0.005537319709203459</x:v>
      </x:c>
      <x:c r="C31" s="43" t="n">
        <x:f>100*(F11-F10)</x:f>
        <x:v>-0.06469474814253529</x:v>
      </x:c>
      <x:c r="D31" s="44" t="n">
        <x:f>H11-H10</x:f>
        <x:v>-0.008157067986167332</x:v>
      </x:c>
      <x:c r="E31" s="44" t="n">
        <x:f>J11-J10</x:f>
        <x:v>-0.0005249704607900307</x:v>
      </x:c>
      <x:c r="F31" s="1"/>
      <x:c r="G31" s="1"/>
      <x:c r="H31" s="1"/>
      <x:c r="I31" s="1"/>
      <x:c r="J31" s="1"/>
      <x:c r="K31" s="1"/>
    </x:row>
    <x:row r="32">
      <x:c r="A32" s="1" t="str">
        <x:v>G zero</x:v>
      </x:c>
      <x:c r="B32" s="43" t="n">
        <x:f>100*(E11-E12)</x:f>
        <x:v>-0.05762144576749173</x:v>
      </x:c>
      <x:c r="C32" s="43" t="n">
        <x:f>100*(F11-F12)</x:f>
        <x:v>-0.5186880244088754</x:v>
      </x:c>
      <x:c r="D32" s="44" t="n">
        <x:f>H11-H12</x:f>
        <x:v>-0.010919154015565424</x:v>
      </x:c>
      <x:c r="E32" s="44" t="n">
        <x:f>J11-J12</x:f>
        <x:v>0.0007648304111153026</x:v>
      </x:c>
      <x:c r="F32" s="1"/>
      <x:c r="G32" s="1"/>
      <x:c r="H32" s="1"/>
      <x:c r="I32" s="1"/>
      <x:c r="J32" s="1"/>
      <x:c r="K32" s="1"/>
    </x:row>
    <x:row r="33">
      <x:c r="A33" s="1" t="str">
        <x:v>G shuffle</x:v>
      </x:c>
      <x:c r="B33" s="43" t="n">
        <x:f>100*(E11-E13)</x:f>
        <x:v>0.028865348786571987</x:v>
      </x:c>
      <x:c r="C33" s="43" t="n">
        <x:f>100*(F11-F13)</x:f>
        <x:v>-0.387979420389295</x:v>
      </x:c>
      <x:c r="D33" s="44" t="n">
        <x:f>H11-H13</x:f>
        <x:v>-0.010036080412266002</x:v>
      </x:c>
      <x:c r="E33" s="44" t="n">
        <x:f>J11-J13</x:f>
        <x:v>0.0017825659225083057</x:v>
      </x:c>
      <x:c r="F33" s="1"/>
      <x:c r="G33" s="1"/>
      <x:c r="H33" s="1"/>
      <x:c r="I33" s="1"/>
      <x:c r="J33" s="1"/>
      <x:c r="K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</x:row>
    <x:row r="36">
      <x:c r="A36" s="1" t="str">
        <x:v>V1 3/3、S 3/3、G 9/9 完整。Source copy 为相同来源与深度调度的直接复制。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</x:row>
    <x:row r="37">
      <x:c r="A37" s="1" t="str">
        <x:v>G 接近来源复制；real 暂未稳定优于 zero/shuffle。下一阶段优先检验空间生成。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</x:row>
    <x:row r="38">
      <x:c r="A38" s="1" t="str">
        <x:v>空间PCC为100µm共同网格的基因相关中位数；稀有表达PCC仅纳入各方法共同存在的类型。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9" hidden="0" customWidth="1"/>
    <x:col min="2" max="2" width="10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9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16" hidden="0" customWidth="1"/>
    <x:col min="14" max="14" width="18" hidden="0" customWidth="1"/>
    <x:col min="15" max="15" width="16" hidden="0" customWidth="1"/>
    <x:col min="16" max="16" width="20" hidden="0" customWidth="1"/>
    <x:col min="17" max="17" width="20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22" hidden="0" customWidth="1"/>
    <x:col min="23" max="23" width="20" hidden="0" customWidth="1"/>
    <x:col min="24" max="24" width="23" hidden="0" customWidth="1"/>
    <x:col min="25" max="25" width="22" hidden="0" customWidth="1"/>
    <x:col min="26" max="26" width="16" hidden="0" customWidth="1"/>
    <x:col min="27" max="27" width="20" hidden="0" customWidth="1"/>
    <x:col min="28" max="28" width="20" hidden="0" customWidth="1"/>
    <x:col min="29" max="29" width="21" hidden="0" customWidth="1"/>
    <x:col min="30" max="30" width="20" hidden="0" customWidth="1"/>
    <x:col min="31" max="31" width="20" hidden="0" customWidth="1"/>
    <x:col min="32" max="32" width="22" hidden="0" customWidth="1"/>
    <x:col min="33" max="33" width="22" hidden="0" customWidth="1"/>
  </x:cols>
  <x:sheetData>
    <x:row r="1" ht="42" customHeight="1">
      <x:c r="A1" s="6" t="str">
        <x:v>方法</x:v>
      </x:c>
      <x:c r="B1" s="6" t="str">
        <x:v>留出切片</x:v>
      </x:c>
      <x:c r="C1" s="6" t="str">
        <x:v>真实细胞数</x:v>
      </x:c>
      <x:c r="D1" s="6" t="str">
        <x:v>预测细胞数</x:v>
      </x:c>
      <x:c r="E1" s="6" t="str">
        <x:v>稀有宏召回25µm</x:v>
      </x:c>
      <x:c r="F1" s="6" t="str">
        <x:v>稀有宏召回50µm</x:v>
      </x:c>
      <x:c r="G1" s="6" t="str">
        <x:v>稀有宏召回100µm</x:v>
      </x:c>
      <x:c r="H1" s="6" t="str">
        <x:v>稀有加权召回100µm</x:v>
      </x:c>
      <x:c r="I1" s="6" t="str">
        <x:v>稀有加权精确率100µm</x:v>
      </x:c>
      <x:c r="J1" s="6" t="str">
        <x:v>共同稀有类表达PCC</x:v>
      </x:c>
      <x:c r="K1" s="6" t="str">
        <x:v>空间表达PCC100µm</x:v>
      </x:c>
      <x:c r="L1" s="6" t="str">
        <x:v>空间表达PCC200µm</x:v>
      </x:c>
      <x:c r="M1" s="6" t="str">
        <x:v>组织密度TV</x:v>
      </x:c>
      <x:c r="N1" s="6" t="str">
        <x:v>局部类型组成JS</x:v>
      </x:c>
      <x:c r="O1" s="6" t="str">
        <x:v>类型比例TV</x:v>
      </x:c>
      <x:c r="P1" s="6" t="str">
        <x:v>全局均值表达PCC</x:v>
      </x:c>
      <x:c r="Q1" s="6" t="str">
        <x:v>对称最近邻距离µm</x:v>
      </x:c>
      <x:c r="R1" s="6" t="str">
        <x:v>稀有真实细胞数</x:v>
      </x:c>
      <x:c r="S1" s="6" t="str">
        <x:v>稀有预测细胞数</x:v>
      </x:c>
      <x:c r="T1" s="6" t="str">
        <x:v>缺失类别数</x:v>
      </x:c>
      <x:c r="U1" s="6" t="str">
        <x:v>稀有缺失类别数</x:v>
      </x:c>
      <x:c r="V1" s="6" t="str">
        <x:v>表达PCC共同稀有类数</x:v>
      </x:c>
      <x:c r="W1" s="6" t="str">
        <x:v>薄层来源复制比例</x:v>
      </x:c>
      <x:c r="X1" s="6" t="str">
        <x:v>薄层稀有来源复制比例</x:v>
      </x:c>
      <x:c r="Y1" s="6" t="str">
        <x:v>来源位移中位数µm</x:v>
      </x:c>
      <x:c r="Z1" s="6" t="str">
        <x:v>XY标准差比</x:v>
      </x:c>
      <x:c r="AA1" s="6" t="str">
        <x:v>稀有宏精确率25µm</x:v>
      </x:c>
      <x:c r="AB1" s="6" t="str">
        <x:v>稀有宏精确率50µm</x:v>
      </x:c>
      <x:c r="AC1" s="6" t="str">
        <x:v>稀有宏精确率100µm</x:v>
      </x:c>
      <x:c r="AD1" s="6" t="str">
        <x:v>稀有加权召回25µm</x:v>
      </x:c>
      <x:c r="AE1" s="6" t="str">
        <x:v>稀有加权召回50µm</x:v>
      </x:c>
      <x:c r="AF1" s="6" t="str">
        <x:v>稀有加权精确率25µm</x:v>
      </x:c>
      <x:c r="AG1" s="6" t="str">
        <x:v>稀有加权精确率50µm</x:v>
      </x:c>
    </x:row>
    <x:row r="2" ht="22" customHeight="1">
      <x:c r="A2" s="7" t="str">
        <x:v>DeepSpatial</x:v>
      </x:c>
      <x:c r="B2" s="9" t="n">
        <x:v>1</x:v>
      </x:c>
      <x:c r="C2" s="11" t="n">
        <x:v>5557</x:v>
      </x:c>
      <x:c r="D2" s="11" t="n">
        <x:v>5686</x:v>
      </x:c>
      <x:c r="E2" s="13" t="n">
        <x:v>0.107906676389261</x:v>
      </x:c>
      <x:c r="F2" s="13" t="n">
        <x:v>0.223314272519012</x:v>
      </x:c>
      <x:c r="G2" s="13" t="n">
        <x:v>0.427080227701847</x:v>
      </x:c>
      <x:c r="H2" s="13" t="n">
        <x:v>0.68792270531401</x:v>
      </x:c>
      <x:c r="I2" s="13" t="n">
        <x:v>0.68421052631579</x:v>
      </x:c>
      <x:c r="J2" s="15" t="n">
        <x:v>0.937510695365166</x:v>
      </x:c>
      <x:c r="K2" s="15" t="n">
        <x:v>0.145338387734319</x:v>
      </x:c>
      <x:c r="L2" s="15" t="n">
        <x:v>0.22292695129249</x:v>
      </x:c>
      <x:c r="M2" s="15" t="n">
        <x:v>0.274965913013162</x:v>
      </x:c>
      <x:c r="N2" s="15" t="n">
        <x:v>0.302017097594602</x:v>
      </x:c>
      <x:c r="O2" s="15" t="n">
        <x:v>0.039219894280178</x:v>
      </x:c>
      <x:c r="P2" s="15" t="n">
        <x:v>0.977706799516021</x:v>
      </x:c>
      <x:c r="Q2" s="17" t="n">
        <x:v>14.763771865215034</x:v>
      </x:c>
      <x:c r="R2" s="11" t="n">
        <x:v>1035</x:v>
      </x:c>
      <x:c r="S2" s="11" t="n">
        <x:v>1083</x:v>
      </x:c>
      <x:c r="T2" s="9" t="n">
        <x:v>0</x:v>
      </x:c>
      <x:c r="U2" s="9" t="n">
        <x:v>0</x:v>
      </x:c>
      <x:c r="V2" s="9" t="n">
        <x:v>10</x:v>
      </x:c>
      <x:c r="W2" s="13" t="str">
        <x:v>n.a.</x:v>
      </x:c>
      <x:c r="X2" s="13" t="str">
        <x:v>n.a.</x:v>
      </x:c>
      <x:c r="Y2" s="17" t="str">
        <x:v>n.a.</x:v>
      </x:c>
      <x:c r="Z2" s="15" t="n">
        <x:v>0.814675632153481</x:v>
      </x:c>
      <x:c r="AA2" s="13" t="n">
        <x:v>0.100351521540996</x:v>
      </x:c>
      <x:c r="AB2" s="13" t="n">
        <x:v>0.232342908504178</x:v>
      </x:c>
      <x:c r="AC2" s="13" t="n">
        <x:v>0.452712341398558</x:v>
      </x:c>
      <x:c r="AD2" s="13" t="n">
        <x:v>0.256038647342995</x:v>
      </x:c>
      <x:c r="AE2" s="13" t="n">
        <x:v>0.435748792270531</x:v>
      </x:c>
      <x:c r="AF2" s="13" t="n">
        <x:v>0.212373037857802</x:v>
      </x:c>
      <x:c r="AG2" s="13" t="n">
        <x:v>0.401662049861496</x:v>
      </x:c>
    </x:row>
    <x:row r="3" ht="22" customHeight="1">
      <x:c r="A3" s="7" t="str">
        <x:v>DeepSpatial</x:v>
      </x:c>
      <x:c r="B3" s="9" t="n">
        <x:v>2</x:v>
      </x:c>
      <x:c r="C3" s="11" t="n">
        <x:v>5926</x:v>
      </x:c>
      <x:c r="D3" s="11" t="n">
        <x:v>5630</x:v>
      </x:c>
      <x:c r="E3" s="13" t="n">
        <x:v>0.096037912747814</x:v>
      </x:c>
      <x:c r="F3" s="13" t="n">
        <x:v>0.216819814197996</x:v>
      </x:c>
      <x:c r="G3" s="13" t="n">
        <x:v>0.403783811042716</x:v>
      </x:c>
      <x:c r="H3" s="13" t="n">
        <x:v>0.669590643274854</x:v>
      </x:c>
      <x:c r="I3" s="13" t="n">
        <x:v>0.741803278688525</x:v>
      </x:c>
      <x:c r="J3" s="15" t="n">
        <x:v>0.929422766118771</x:v>
      </x:c>
      <x:c r="K3" s="15" t="n">
        <x:v>0.193359948812667</x:v>
      </x:c>
      <x:c r="L3" s="15" t="n">
        <x:v>0.324369816826975</x:v>
      </x:c>
      <x:c r="M3" s="15" t="n">
        <x:v>0.320001510638311</x:v>
      </x:c>
      <x:c r="N3" s="15" t="n">
        <x:v>0.276457574664414</x:v>
      </x:c>
      <x:c r="O3" s="15" t="n">
        <x:v>0.018950897660848</x:v>
      </x:c>
      <x:c r="P3" s="15" t="n">
        <x:v>0.996618673838282</x:v>
      </x:c>
      <x:c r="Q3" s="17" t="n">
        <x:v>17.194286362861238</x:v>
      </x:c>
      <x:c r="R3" s="11" t="n">
        <x:v>1026</x:v>
      </x:c>
      <x:c r="S3" s="11" t="n">
        <x:v>976</x:v>
      </x:c>
      <x:c r="T3" s="9" t="n">
        <x:v>0</x:v>
      </x:c>
      <x:c r="U3" s="9" t="n">
        <x:v>0</x:v>
      </x:c>
      <x:c r="V3" s="9" t="n">
        <x:v>11</x:v>
      </x:c>
      <x:c r="W3" s="13" t="str">
        <x:v>n.a.</x:v>
      </x:c>
      <x:c r="X3" s="13" t="str">
        <x:v>n.a.</x:v>
      </x:c>
      <x:c r="Y3" s="17" t="str">
        <x:v>n.a.</x:v>
      </x:c>
      <x:c r="Z3" s="15" t="n">
        <x:v>0.744824085369738</x:v>
      </x:c>
      <x:c r="AA3" s="13" t="n">
        <x:v>0.098231863554923</x:v>
      </x:c>
      <x:c r="AB3" s="13" t="n">
        <x:v>0.22626375437755</x:v>
      </x:c>
      <x:c r="AC3" s="13" t="n">
        <x:v>0.484407312063006</x:v>
      </x:c>
      <x:c r="AD3" s="13" t="n">
        <x:v>0.250487329434698</x:v>
      </x:c>
      <x:c r="AE3" s="13" t="n">
        <x:v>0.451267056530214</x:v>
      </x:c>
      <x:c r="AF3" s="13" t="n">
        <x:v>0.229508196721311</x:v>
      </x:c>
      <x:c r="AG3" s="13" t="n">
        <x:v>0.432377049180328</x:v>
      </x:c>
    </x:row>
    <x:row r="4" ht="22" customHeight="1">
      <x:c r="A4" s="7" t="str">
        <x:v>DeepSpatial</x:v>
      </x:c>
      <x:c r="B4" s="9" t="n">
        <x:v>3</x:v>
      </x:c>
      <x:c r="C4" s="11" t="n">
        <x:v>5803</x:v>
      </x:c>
      <x:c r="D4" s="11" t="n">
        <x:v>5763</x:v>
      </x:c>
      <x:c r="E4" s="13" t="n">
        <x:v>0.116206527893792</x:v>
      </x:c>
      <x:c r="F4" s="13" t="n">
        <x:v>0.214338797506904</x:v>
      </x:c>
      <x:c r="G4" s="13" t="n">
        <x:v>0.416411452020422</x:v>
      </x:c>
      <x:c r="H4" s="13" t="n">
        <x:v>0.67504835589942</x:v>
      </x:c>
      <x:c r="I4" s="13" t="n">
        <x:v>0.708728652751423</x:v>
      </x:c>
      <x:c r="J4" s="15" t="n">
        <x:v>0.942656975354918</x:v>
      </x:c>
      <x:c r="K4" s="15" t="n">
        <x:v>0.206942184144174</x:v>
      </x:c>
      <x:c r="L4" s="15" t="n">
        <x:v>0.324978326716111</x:v>
      </x:c>
      <x:c r="M4" s="15" t="n">
        <x:v>0.310293020994813</x:v>
      </x:c>
      <x:c r="N4" s="15" t="n">
        <x:v>0.302468750571726</x:v>
      </x:c>
      <x:c r="O4" s="15" t="n">
        <x:v>0.026501606973052</x:v>
      </x:c>
      <x:c r="P4" s="15" t="n">
        <x:v>0.993607329652993</x:v>
      </x:c>
      <x:c r="Q4" s="17" t="n">
        <x:v>14.5639233409599</x:v>
      </x:c>
      <x:c r="R4" s="11" t="n">
        <x:v>1034</x:v>
      </x:c>
      <x:c r="S4" s="11" t="n">
        <x:v>1054</x:v>
      </x:c>
      <x:c r="T4" s="9" t="n">
        <x:v>0</x:v>
      </x:c>
      <x:c r="U4" s="9" t="n">
        <x:v>0</x:v>
      </x:c>
      <x:c r="V4" s="9" t="n">
        <x:v>11</x:v>
      </x:c>
      <x:c r="W4" s="13" t="str">
        <x:v>n.a.</x:v>
      </x:c>
      <x:c r="X4" s="13" t="str">
        <x:v>n.a.</x:v>
      </x:c>
      <x:c r="Y4" s="17" t="str">
        <x:v>n.a.</x:v>
      </x:c>
      <x:c r="Z4" s="15" t="n">
        <x:v>0.762697464130119</x:v>
      </x:c>
      <x:c r="AA4" s="13" t="n">
        <x:v>0.110561099913715</x:v>
      </x:c>
      <x:c r="AB4" s="13" t="n">
        <x:v>0.215141074042482</x:v>
      </x:c>
      <x:c r="AC4" s="13" t="n">
        <x:v>0.406223931752869</x:v>
      </x:c>
      <x:c r="AD4" s="13" t="n">
        <x:v>0.248549323017408</x:v>
      </x:c>
      <x:c r="AE4" s="13" t="n">
        <x:v>0.406189555125725</x:v>
      </x:c>
      <x:c r="AF4" s="13" t="n">
        <x:v>0.23719165085389</x:v>
      </x:c>
      <x:c r="AG4" s="13" t="n">
        <x:v>0.42314990512334</x:v>
      </x:c>
    </x:row>
    <x:row r="5" ht="22" customHeight="1">
      <x:c r="A5" s="7" t="str">
        <x:v>V1</x:v>
      </x:c>
      <x:c r="B5" s="9" t="n">
        <x:v>1</x:v>
      </x:c>
      <x:c r="C5" s="11" t="n">
        <x:v>5557</x:v>
      </x:c>
      <x:c r="D5" s="11" t="n">
        <x:v>5621</x:v>
      </x:c>
      <x:c r="E5" s="13" t="n">
        <x:v>0.132652166469495</x:v>
      </x:c>
      <x:c r="F5" s="13" t="n">
        <x:v>0.248874932298286</x:v>
      </x:c>
      <x:c r="G5" s="13" t="n">
        <x:v>0.451241687137721</x:v>
      </x:c>
      <x:c r="H5" s="13" t="n">
        <x:v>0.769082125603865</x:v>
      </x:c>
      <x:c r="I5" s="13" t="n">
        <x:v>0.775142314990512</x:v>
      </x:c>
      <x:c r="J5" s="15" t="n">
        <x:v>0.925790717933719</x:v>
      </x:c>
      <x:c r="K5" s="15" t="n">
        <x:v>0.386683977025676</x:v>
      </x:c>
      <x:c r="L5" s="15" t="n">
        <x:v>0.577144366578431</x:v>
      </x:c>
      <x:c r="M5" s="15" t="n">
        <x:v>0.157653612444682</x:v>
      </x:c>
      <x:c r="N5" s="15" t="n">
        <x:v>0.225766271212722</x:v>
      </x:c>
      <x:c r="O5" s="15" t="n">
        <x:v>0.033632138049373</x:v>
      </x:c>
      <x:c r="P5" s="15" t="n">
        <x:v>0.995915798111046</x:v>
      </x:c>
      <x:c r="Q5" s="17" t="n">
        <x:v>12.544257729385086</x:v>
      </x:c>
      <x:c r="R5" s="11" t="n">
        <x:v>1035</x:v>
      </x:c>
      <x:c r="S5" s="11" t="n">
        <x:v>1054</x:v>
      </x:c>
      <x:c r="T5" s="9" t="n">
        <x:v>1</x:v>
      </x:c>
      <x:c r="U5" s="9" t="n">
        <x:v>1</x:v>
      </x:c>
      <x:c r="V5" s="9" t="n">
        <x:v>10</x:v>
      </x:c>
      <x:c r="W5" s="13" t="str">
        <x:v>n.a.</x:v>
      </x:c>
      <x:c r="X5" s="13" t="str">
        <x:v>n.a.</x:v>
      </x:c>
      <x:c r="Y5" s="17" t="str">
        <x:v>n.a.</x:v>
      </x:c>
      <x:c r="Z5" s="15" t="n">
        <x:v>0.962257576433253</x:v>
      </x:c>
      <x:c r="AA5" s="13" t="n">
        <x:v>0.156017737587423</x:v>
      </x:c>
      <x:c r="AB5" s="13" t="n">
        <x:v>0.285390866280325</x:v>
      </x:c>
      <x:c r="AC5" s="13" t="n">
        <x:v>0.566047692576117</x:v>
      </x:c>
      <x:c r="AD5" s="13" t="n">
        <x:v>0.331400966183575</x:v>
      </x:c>
      <x:c r="AE5" s="13" t="n">
        <x:v>0.522705314009662</x:v>
      </x:c>
      <x:c r="AF5" s="13" t="n">
        <x:v>0.321631878557875</x:v>
      </x:c>
      <x:c r="AG5" s="13" t="n">
        <x:v>0.503795066413662</x:v>
      </x:c>
    </x:row>
    <x:row r="6" ht="22" customHeight="1">
      <x:c r="A6" s="7" t="str">
        <x:v>V1</x:v>
      </x:c>
      <x:c r="B6" s="9" t="n">
        <x:v>2</x:v>
      </x:c>
      <x:c r="C6" s="11" t="n">
        <x:v>5926</x:v>
      </x:c>
      <x:c r="D6" s="11" t="n">
        <x:v>5632</x:v>
      </x:c>
      <x:c r="E6" s="13" t="n">
        <x:v>0.127459178345521</x:v>
      </x:c>
      <x:c r="F6" s="13" t="n">
        <x:v>0.236333919347028</x:v>
      </x:c>
      <x:c r="G6" s="13" t="n">
        <x:v>0.449065267144361</x:v>
      </x:c>
      <x:c r="H6" s="13" t="n">
        <x:v>0.753411306042885</x:v>
      </x:c>
      <x:c r="I6" s="13" t="n">
        <x:v>0.814889336016097</x:v>
      </x:c>
      <x:c r="J6" s="15" t="n">
        <x:v>0.938434034398081</x:v>
      </x:c>
      <x:c r="K6" s="15" t="n">
        <x:v>0.387656843292368</x:v>
      </x:c>
      <x:c r="L6" s="15" t="n">
        <x:v>0.552083130033442</x:v>
      </x:c>
      <x:c r="M6" s="15" t="n">
        <x:v>0.18704882710628</x:v>
      </x:c>
      <x:c r="N6" s="15" t="n">
        <x:v>0.214988871525286</x:v>
      </x:c>
      <x:c r="O6" s="15" t="n">
        <x:v>0.017312359057159</x:v>
      </x:c>
      <x:c r="P6" s="15" t="n">
        <x:v>0.9971098275191</x:v>
      </x:c>
      <x:c r="Q6" s="17" t="n">
        <x:v>12.899358678896904</x:v>
      </x:c>
      <x:c r="R6" s="11" t="n">
        <x:v>1026</x:v>
      </x:c>
      <x:c r="S6" s="11" t="n">
        <x:v>994</x:v>
      </x:c>
      <x:c r="T6" s="9" t="n">
        <x:v>0</x:v>
      </x:c>
      <x:c r="U6" s="9" t="n">
        <x:v>0</x:v>
      </x:c>
      <x:c r="V6" s="9" t="n">
        <x:v>11</x:v>
      </x:c>
      <x:c r="W6" s="13" t="str">
        <x:v>n.a.</x:v>
      </x:c>
      <x:c r="X6" s="13" t="str">
        <x:v>n.a.</x:v>
      </x:c>
      <x:c r="Y6" s="17" t="str">
        <x:v>n.a.</x:v>
      </x:c>
      <x:c r="Z6" s="15" t="n">
        <x:v>0.93331918926677</x:v>
      </x:c>
      <x:c r="AA6" s="13" t="n">
        <x:v>0.124394576377723</x:v>
      </x:c>
      <x:c r="AB6" s="13" t="n">
        <x:v>0.318937331657401</x:v>
      </x:c>
      <x:c r="AC6" s="13" t="n">
        <x:v>0.523756296778605</x:v>
      </x:c>
      <x:c r="AD6" s="13" t="n">
        <x:v>0.31578947368421</x:v>
      </x:c>
      <x:c r="AE6" s="13" t="n">
        <x:v>0.495126705653021</x:v>
      </x:c>
      <x:c r="AF6" s="13" t="n">
        <x:v>0.32092555331992</x:v>
      </x:c>
      <x:c r="AG6" s="13" t="n">
        <x:v>0.551307847082495</x:v>
      </x:c>
    </x:row>
    <x:row r="7" ht="22" customHeight="1">
      <x:c r="A7" s="7" t="str">
        <x:v>V1</x:v>
      </x:c>
      <x:c r="B7" s="9" t="n">
        <x:v>3</x:v>
      </x:c>
      <x:c r="C7" s="11" t="n">
        <x:v>5803</x:v>
      </x:c>
      <x:c r="D7" s="11" t="n">
        <x:v>5702</x:v>
      </x:c>
      <x:c r="E7" s="13" t="n">
        <x:v>0.155001340512472</x:v>
      </x:c>
      <x:c r="F7" s="13" t="n">
        <x:v>0.267871628195536</x:v>
      </x:c>
      <x:c r="G7" s="13" t="n">
        <x:v>0.475486295832266</x:v>
      </x:c>
      <x:c r="H7" s="13" t="n">
        <x:v>0.766924564796905</x:v>
      </x:c>
      <x:c r="I7" s="13" t="n">
        <x:v>0.791089108910891</x:v>
      </x:c>
      <x:c r="J7" s="15" t="n">
        <x:v>0.945010795952229</x:v>
      </x:c>
      <x:c r="K7" s="15" t="n">
        <x:v>0.388682417046677</x:v>
      </x:c>
      <x:c r="L7" s="15" t="n">
        <x:v>0.563444155666836</x:v>
      </x:c>
      <x:c r="M7" s="15" t="n">
        <x:v>0.168634065049265</x:v>
      </x:c>
      <x:c r="N7" s="15" t="n">
        <x:v>0.229677766438209</x:v>
      </x:c>
      <x:c r="O7" s="15" t="n">
        <x:v>0.025963481315951</x:v>
      </x:c>
      <x:c r="P7" s="15" t="n">
        <x:v>0.994228241158185</x:v>
      </x:c>
      <x:c r="Q7" s="17" t="n">
        <x:v>12.452276550223722</x:v>
      </x:c>
      <x:c r="R7" s="11" t="n">
        <x:v>1034</x:v>
      </x:c>
      <x:c r="S7" s="11" t="n">
        <x:v>1010</x:v>
      </x:c>
      <x:c r="T7" s="9" t="n">
        <x:v>0</x:v>
      </x:c>
      <x:c r="U7" s="9" t="n">
        <x:v>0</x:v>
      </x:c>
      <x:c r="V7" s="9" t="n">
        <x:v>11</x:v>
      </x:c>
      <x:c r="W7" s="13" t="str">
        <x:v>n.a.</x:v>
      </x:c>
      <x:c r="X7" s="13" t="str">
        <x:v>n.a.</x:v>
      </x:c>
      <x:c r="Y7" s="17" t="str">
        <x:v>n.a.</x:v>
      </x:c>
      <x:c r="Z7" s="15" t="n">
        <x:v>0.938756069537891</x:v>
      </x:c>
      <x:c r="AA7" s="13" t="n">
        <x:v>0.148416622063519</x:v>
      </x:c>
      <x:c r="AB7" s="13" t="n">
        <x:v>0.267282142479301</x:v>
      </x:c>
      <x:c r="AC7" s="13" t="n">
        <x:v>0.480543915740804</x:v>
      </x:c>
      <x:c r="AD7" s="13" t="n">
        <x:v>0.312379110251451</x:v>
      </x:c>
      <x:c r="AE7" s="13" t="n">
        <x:v>0.5</x:v>
      </x:c>
      <x:c r="AF7" s="13" t="n">
        <x:v>0.30990099009901</x:v>
      </x:c>
      <x:c r="AG7" s="13" t="n">
        <x:v>0.516831683168317</x:v>
      </x:c>
    </x:row>
    <x:row r="8" ht="22" customHeight="1">
      <x:c r="A8" s="7" t="str">
        <x:v>S</x:v>
      </x:c>
      <x:c r="B8" s="9" t="n">
        <x:v>1</x:v>
      </x:c>
      <x:c r="C8" s="11" t="n">
        <x:v>5557</x:v>
      </x:c>
      <x:c r="D8" s="11" t="n">
        <x:v>5707</x:v>
      </x:c>
      <x:c r="E8" s="13" t="n">
        <x:v>0.133087320956815</x:v>
      </x:c>
      <x:c r="F8" s="13" t="n">
        <x:v>0.232402384668158</x:v>
      </x:c>
      <x:c r="G8" s="13" t="n">
        <x:v>0.446734060382441</x:v>
      </x:c>
      <x:c r="H8" s="13" t="n">
        <x:v>0.771980676328502</x:v>
      </x:c>
      <x:c r="I8" s="13" t="n">
        <x:v>0.81058495821727</x:v>
      </x:c>
      <x:c r="J8" s="15" t="n">
        <x:v>0.934846757774823</x:v>
      </x:c>
      <x:c r="K8" s="15" t="n">
        <x:v>0.384275570349193</x:v>
      </x:c>
      <x:c r="L8" s="15" t="n">
        <x:v>0.616212896482382</x:v>
      </x:c>
      <x:c r="M8" s="15" t="n">
        <x:v>0.15638996766045</x:v>
      </x:c>
      <x:c r="N8" s="15" t="n">
        <x:v>0.227412518154247</x:v>
      </x:c>
      <x:c r="O8" s="15" t="n">
        <x:v>0.031564682616548</x:v>
      </x:c>
      <x:c r="P8" s="15" t="n">
        <x:v>0.995726625700099</x:v>
      </x:c>
      <x:c r="Q8" s="17" t="n">
        <x:v>12.3030513499817</x:v>
      </x:c>
      <x:c r="R8" s="11" t="n">
        <x:v>1035</x:v>
      </x:c>
      <x:c r="S8" s="11" t="n">
        <x:v>1077</x:v>
      </x:c>
      <x:c r="T8" s="9" t="n">
        <x:v>0</x:v>
      </x:c>
      <x:c r="U8" s="9" t="n">
        <x:v>0</x:v>
      </x:c>
      <x:c r="V8" s="9" t="n">
        <x:v>10</x:v>
      </x:c>
      <x:c r="W8" s="13" t="str">
        <x:v>n.a.</x:v>
      </x:c>
      <x:c r="X8" s="13" t="str">
        <x:v>n.a.</x:v>
      </x:c>
      <x:c r="Y8" s="17" t="str">
        <x:v>n.a.</x:v>
      </x:c>
      <x:c r="Z8" s="15" t="n">
        <x:v>0.964103793169526</x:v>
      </x:c>
      <x:c r="AA8" s="13" t="n">
        <x:v>0.13948758208008</x:v>
      </x:c>
      <x:c r="AB8" s="13" t="n">
        <x:v>0.270623595857846</x:v>
      </x:c>
      <x:c r="AC8" s="13" t="n">
        <x:v>0.530313500154699</x:v>
      </x:c>
      <x:c r="AD8" s="13" t="n">
        <x:v>0.326570048309179</x:v>
      </x:c>
      <x:c r="AE8" s="13" t="n">
        <x:v>0.511111111111111</x:v>
      </x:c>
      <x:c r="AF8" s="13" t="n">
        <x:v>0.299907149489322</x:v>
      </x:c>
      <x:c r="AG8" s="13" t="n">
        <x:v>0.50974930362117</x:v>
      </x:c>
    </x:row>
    <x:row r="9" ht="22" customHeight="1">
      <x:c r="A9" s="7" t="str">
        <x:v>S</x:v>
      </x:c>
      <x:c r="B9" s="9" t="n">
        <x:v>2</x:v>
      </x:c>
      <x:c r="C9" s="11" t="n">
        <x:v>5926</x:v>
      </x:c>
      <x:c r="D9" s="11" t="n">
        <x:v>5680</x:v>
      </x:c>
      <x:c r="E9" s="13" t="n">
        <x:v>0.139474634103361</x:v>
      </x:c>
      <x:c r="F9" s="13" t="n">
        <x:v>0.230124530091508</x:v>
      </x:c>
      <x:c r="G9" s="13" t="n">
        <x:v>0.445610530601363</x:v>
      </x:c>
      <x:c r="H9" s="13" t="n">
        <x:v>0.751461988304094</x:v>
      </x:c>
      <x:c r="I9" s="13" t="n">
        <x:v>0.802898550724638</x:v>
      </x:c>
      <x:c r="J9" s="15" t="n">
        <x:v>0.944932475723761</x:v>
      </x:c>
      <x:c r="K9" s="15" t="n">
        <x:v>0.354352325769297</x:v>
      </x:c>
      <x:c r="L9" s="15" t="n">
        <x:v>0.569808521786612</x:v>
      </x:c>
      <x:c r="M9" s="15" t="n">
        <x:v>0.183786773968142</x:v>
      </x:c>
      <x:c r="N9" s="15" t="n">
        <x:v>0.21697513749287</x:v>
      </x:c>
      <x:c r="O9" s="15" t="n">
        <x:v>0.016603247565039</x:v>
      </x:c>
      <x:c r="P9" s="15" t="n">
        <x:v>0.996975552118825</x:v>
      </x:c>
      <x:c r="Q9" s="17" t="n">
        <x:v>12.613297543324771</x:v>
      </x:c>
      <x:c r="R9" s="11" t="n">
        <x:v>1026</x:v>
      </x:c>
      <x:c r="S9" s="11" t="n">
        <x:v>1035</x:v>
      </x:c>
      <x:c r="T9" s="9" t="n">
        <x:v>0</x:v>
      </x:c>
      <x:c r="U9" s="9" t="n">
        <x:v>0</x:v>
      </x:c>
      <x:c r="V9" s="9" t="n">
        <x:v>11</x:v>
      </x:c>
      <x:c r="W9" s="13" t="str">
        <x:v>n.a.</x:v>
      </x:c>
      <x:c r="X9" s="13" t="str">
        <x:v>n.a.</x:v>
      </x:c>
      <x:c r="Y9" s="17" t="str">
        <x:v>n.a.</x:v>
      </x:c>
      <x:c r="Z9" s="15" t="n">
        <x:v>0.932406942347725</x:v>
      </x:c>
      <x:c r="AA9" s="13" t="n">
        <x:v>0.126535243764264</x:v>
      </x:c>
      <x:c r="AB9" s="13" t="n">
        <x:v>0.248272867394382</x:v>
      </x:c>
      <x:c r="AC9" s="13" t="n">
        <x:v>0.489117379348332</x:v>
      </x:c>
      <x:c r="AD9" s="13" t="n">
        <x:v>0.320662768031189</x:v>
      </x:c>
      <x:c r="AE9" s="13" t="n">
        <x:v>0.491228070175438</x:v>
      </x:c>
      <x:c r="AF9" s="13" t="n">
        <x:v>0.303381642512077</x:v>
      </x:c>
      <x:c r="AG9" s="13" t="n">
        <x:v>0.51304347826087</x:v>
      </x:c>
    </x:row>
    <x:row r="10" ht="22" customHeight="1">
      <x:c r="A10" s="7" t="str">
        <x:v>S</x:v>
      </x:c>
      <x:c r="B10" s="9" t="n">
        <x:v>3</x:v>
      </x:c>
      <x:c r="C10" s="11" t="n">
        <x:v>5803</x:v>
      </x:c>
      <x:c r="D10" s="11" t="n">
        <x:v>5735</x:v>
      </x:c>
      <x:c r="E10" s="13" t="n">
        <x:v>0.14870169818385</x:v>
      </x:c>
      <x:c r="F10" s="13" t="n">
        <x:v>0.259559075887155</x:v>
      </x:c>
      <x:c r="G10" s="13" t="n">
        <x:v>0.487983774555039</x:v>
      </x:c>
      <x:c r="H10" s="13" t="n">
        <x:v>0.78046421663443</x:v>
      </x:c>
      <x:c r="I10" s="13" t="n">
        <x:v>0.805555555555556</x:v>
      </x:c>
      <x:c r="J10" s="15" t="n">
        <x:v>0.951583167698256</x:v>
      </x:c>
      <x:c r="K10" s="15" t="n">
        <x:v>0.384447918078878</x:v>
      </x:c>
      <x:c r="L10" s="15" t="n">
        <x:v>0.592859766624315</x:v>
      </x:c>
      <x:c r="M10" s="15" t="n">
        <x:v>0.161080197673061</x:v>
      </x:c>
      <x:c r="N10" s="15" t="n">
        <x:v>0.2262516470038</x:v>
      </x:c>
      <x:c r="O10" s="15" t="n">
        <x:v>0.024759943636164</x:v>
      </x:c>
      <x:c r="P10" s="15" t="n">
        <x:v>0.994459379198658</x:v>
      </x:c>
      <x:c r="Q10" s="17" t="n">
        <x:v>12.675068102973071</x:v>
      </x:c>
      <x:c r="R10" s="11" t="n">
        <x:v>1034</x:v>
      </x:c>
      <x:c r="S10" s="11" t="n">
        <x:v>1044</x:v>
      </x:c>
      <x:c r="T10" s="9" t="n">
        <x:v>0</x:v>
      </x:c>
      <x:c r="U10" s="9" t="n">
        <x:v>0</x:v>
      </x:c>
      <x:c r="V10" s="9" t="n">
        <x:v>11</x:v>
      </x:c>
      <x:c r="W10" s="13" t="str">
        <x:v>n.a.</x:v>
      </x:c>
      <x:c r="X10" s="13" t="str">
        <x:v>n.a.</x:v>
      </x:c>
      <x:c r="Y10" s="17" t="str">
        <x:v>n.a.</x:v>
      </x:c>
      <x:c r="Z10" s="15" t="n">
        <x:v>0.942833365560044</x:v>
      </x:c>
      <x:c r="AA10" s="13" t="n">
        <x:v>0.149016950475802</x:v>
      </x:c>
      <x:c r="AB10" s="13" t="n">
        <x:v>0.274758198984959</x:v>
      </x:c>
      <x:c r="AC10" s="13" t="n">
        <x:v>0.505764698734356</x:v>
      </x:c>
      <x:c r="AD10" s="13" t="n">
        <x:v>0.310444874274662</x:v>
      </x:c>
      <x:c r="AE10" s="13" t="n">
        <x:v>0.491295938104449</x:v>
      </x:c>
      <x:c r="AF10" s="13" t="n">
        <x:v>0.310344827586207</x:v>
      </x:c>
      <x:c r="AG10" s="13" t="n">
        <x:v>0.522030651340996</x:v>
      </x:c>
    </x:row>
    <x:row r="11" ht="22" customHeight="1">
      <x:c r="A11" s="7" t="str">
        <x:v>Source copy</x:v>
      </x:c>
      <x:c r="B11" s="9" t="n">
        <x:v>1</x:v>
      </x:c>
      <x:c r="C11" s="11" t="n">
        <x:v>5557</x:v>
      </x:c>
      <x:c r="D11" s="11" t="n">
        <x:v>5707</x:v>
      </x:c>
      <x:c r="E11" s="13" t="n">
        <x:v>0.122457197508217</x:v>
      </x:c>
      <x:c r="F11" s="13" t="n">
        <x:v>0.265345237422617</x:v>
      </x:c>
      <x:c r="G11" s="13" t="n">
        <x:v>0.512054947006889</x:v>
      </x:c>
      <x:c r="H11" s="13" t="n">
        <x:v>0.776811594202899</x:v>
      </x:c>
      <x:c r="I11" s="13" t="n">
        <x:v>0.811513463324048</x:v>
      </x:c>
      <x:c r="J11" s="15" t="n">
        <x:v>0.93025314935842</x:v>
      </x:c>
      <x:c r="K11" s="15" t="n">
        <x:v>0.358778016785488</x:v>
      </x:c>
      <x:c r="L11" s="15" t="n">
        <x:v>0.629906843477485</x:v>
      </x:c>
      <x:c r="M11" s="15" t="n">
        <x:v>0.153087777342601</x:v>
      </x:c>
      <x:c r="N11" s="15" t="n">
        <x:v>0.223955728088618</x:v>
      </x:c>
      <x:c r="O11" s="15" t="n">
        <x:v>0.031564682616548</x:v>
      </x:c>
      <x:c r="P11" s="15" t="n">
        <x:v>0.995873944252176</x:v>
      </x:c>
      <x:c r="Q11" s="17" t="n">
        <x:v>12.069413268165048</x:v>
      </x:c>
      <x:c r="R11" s="11" t="n">
        <x:v>1035</x:v>
      </x:c>
      <x:c r="S11" s="11" t="n">
        <x:v>1077</x:v>
      </x:c>
      <x:c r="T11" s="9" t="n">
        <x:v>0</x:v>
      </x:c>
      <x:c r="U11" s="9" t="n">
        <x:v>0</x:v>
      </x:c>
      <x:c r="V11" s="9" t="n">
        <x:v>10</x:v>
      </x:c>
      <x:c r="W11" s="13" t="str">
        <x:v>n.a.</x:v>
      </x:c>
      <x:c r="X11" s="13" t="str">
        <x:v>n.a.</x:v>
      </x:c>
      <x:c r="Y11" s="17" t="str">
        <x:v>n.a.</x:v>
      </x:c>
      <x:c r="Z11" s="15" t="n">
        <x:v>1.021442781514757</x:v>
      </x:c>
      <x:c r="AA11" s="13" t="n">
        <x:v>0.140005390055894</x:v>
      </x:c>
      <x:c r="AB11" s="13" t="n">
        <x:v>0.298615521467651</x:v>
      </x:c>
      <x:c r="AC11" s="13" t="n">
        <x:v>0.59271739761835</x:v>
      </x:c>
      <x:c r="AD11" s="13" t="n">
        <x:v>0.307246376811594</x:v>
      </x:c>
      <x:c r="AE11" s="13" t="n">
        <x:v>0.519806763285024</x:v>
      </x:c>
      <x:c r="AF11" s="13" t="n">
        <x:v>0.294336118848654</x:v>
      </x:c>
      <x:c r="AG11" s="13" t="n">
        <x:v>0.517177344475395</x:v>
      </x:c>
    </x:row>
    <x:row r="12" ht="22" customHeight="1">
      <x:c r="A12" s="7" t="str">
        <x:v>Source copy</x:v>
      </x:c>
      <x:c r="B12" s="9" t="n">
        <x:v>2</x:v>
      </x:c>
      <x:c r="C12" s="11" t="n">
        <x:v>5926</x:v>
      </x:c>
      <x:c r="D12" s="11" t="n">
        <x:v>5680</x:v>
      </x:c>
      <x:c r="E12" s="13" t="n">
        <x:v>0.125468314051276</x:v>
      </x:c>
      <x:c r="F12" s="13" t="n">
        <x:v>0.256906352724826</x:v>
      </x:c>
      <x:c r="G12" s="13" t="n">
        <x:v>0.433392462889074</x:v>
      </x:c>
      <x:c r="H12" s="13" t="n">
        <x:v>0.753411306042885</x:v>
      </x:c>
      <x:c r="I12" s="13" t="n">
        <x:v>0.773913043478261</x:v>
      </x:c>
      <x:c r="J12" s="15" t="n">
        <x:v>0.933887292536934</x:v>
      </x:c>
      <x:c r="K12" s="15" t="n">
        <x:v>0.366956360930833</x:v>
      </x:c>
      <x:c r="L12" s="15" t="n">
        <x:v>0.584046744639189</x:v>
      </x:c>
      <x:c r="M12" s="15" t="n">
        <x:v>0.144967985435393</x:v>
      </x:c>
      <x:c r="N12" s="15" t="n">
        <x:v>0.218271236981082</x:v>
      </x:c>
      <x:c r="O12" s="15" t="n">
        <x:v>0.016603247565039</x:v>
      </x:c>
      <x:c r="P12" s="15" t="n">
        <x:v>0.996694491216062</x:v>
      </x:c>
      <x:c r="Q12" s="17" t="n">
        <x:v>11.835211260547611</x:v>
      </x:c>
      <x:c r="R12" s="11" t="n">
        <x:v>1026</x:v>
      </x:c>
      <x:c r="S12" s="11" t="n">
        <x:v>1035</x:v>
      </x:c>
      <x:c r="T12" s="9" t="n">
        <x:v>0</x:v>
      </x:c>
      <x:c r="U12" s="9" t="n">
        <x:v>0</x:v>
      </x:c>
      <x:c r="V12" s="9" t="n">
        <x:v>11</x:v>
      </x:c>
      <x:c r="W12" s="13" t="str">
        <x:v>n.a.</x:v>
      </x:c>
      <x:c r="X12" s="13" t="str">
        <x:v>n.a.</x:v>
      </x:c>
      <x:c r="Y12" s="17" t="str">
        <x:v>n.a.</x:v>
      </x:c>
      <x:c r="Z12" s="15" t="n">
        <x:v>0.991022426313138</x:v>
      </x:c>
      <x:c r="AA12" s="13" t="n">
        <x:v>0.121723096873061</x:v>
      </x:c>
      <x:c r="AB12" s="13" t="n">
        <x:v>0.253506541960417</x:v>
      </x:c>
      <x:c r="AC12" s="13" t="n">
        <x:v>0.44725731799431</x:v>
      </x:c>
      <x:c r="AD12" s="13" t="n">
        <x:v>0.297270955165692</x:v>
      </x:c>
      <x:c r="AE12" s="13" t="n">
        <x:v>0.503898635477583</x:v>
      </x:c>
      <x:c r="AF12" s="13" t="n">
        <x:v>0.288888888888889</x:v>
      </x:c>
      <x:c r="AG12" s="13" t="n">
        <x:v>0.502415458937198</x:v>
      </x:c>
    </x:row>
    <x:row r="13" ht="22" customHeight="1">
      <x:c r="A13" s="7" t="str">
        <x:v>Source copy</x:v>
      </x:c>
      <x:c r="B13" s="9" t="n">
        <x:v>3</x:v>
      </x:c>
      <x:c r="C13" s="11" t="n">
        <x:v>5803</x:v>
      </x:c>
      <x:c r="D13" s="11" t="n">
        <x:v>5735</x:v>
      </x:c>
      <x:c r="E13" s="13" t="n">
        <x:v>0.156820905890042</x:v>
      </x:c>
      <x:c r="F13" s="13" t="n">
        <x:v>0.291203323140482</x:v>
      </x:c>
      <x:c r="G13" s="13" t="n">
        <x:v>0.548123741442101</x:v>
      </x:c>
      <x:c r="H13" s="13" t="n">
        <x:v>0.779497098646035</x:v>
      </x:c>
      <x:c r="I13" s="13" t="n">
        <x:v>0.825670498084291</x:v>
      </x:c>
      <x:c r="J13" s="15" t="n">
        <x:v>0.944937766126202</x:v>
      </x:c>
      <x:c r="K13" s="15" t="n">
        <x:v>0.384674015990228</x:v>
      </x:c>
      <x:c r="L13" s="15" t="n">
        <x:v>0.62228899667253</x:v>
      </x:c>
      <x:c r="M13" s="15" t="n">
        <x:v>0.143421412217864</x:v>
      </x:c>
      <x:c r="N13" s="15" t="n">
        <x:v>0.225939932120335</x:v>
      </x:c>
      <x:c r="O13" s="15" t="n">
        <x:v>0.024759943636164</x:v>
      </x:c>
      <x:c r="P13" s="15" t="n">
        <x:v>0.995337483914705</x:v>
      </x:c>
      <x:c r="Q13" s="17" t="n">
        <x:v>11.842927170404666</x:v>
      </x:c>
      <x:c r="R13" s="11" t="n">
        <x:v>1034</x:v>
      </x:c>
      <x:c r="S13" s="11" t="n">
        <x:v>1044</x:v>
      </x:c>
      <x:c r="T13" s="9" t="n">
        <x:v>0</x:v>
      </x:c>
      <x:c r="U13" s="9" t="n">
        <x:v>0</x:v>
      </x:c>
      <x:c r="V13" s="9" t="n">
        <x:v>11</x:v>
      </x:c>
      <x:c r="W13" s="13" t="str">
        <x:v>n.a.</x:v>
      </x:c>
      <x:c r="X13" s="13" t="str">
        <x:v>n.a.</x:v>
      </x:c>
      <x:c r="Y13" s="17" t="str">
        <x:v>n.a.</x:v>
      </x:c>
      <x:c r="Z13" s="15" t="n">
        <x:v>0.998387187453116</x:v>
      </x:c>
      <x:c r="AA13" s="13" t="n">
        <x:v>0.153073992729456</x:v>
      </x:c>
      <x:c r="AB13" s="13" t="n">
        <x:v>0.296166782873107</x:v>
      </x:c>
      <x:c r="AC13" s="13" t="n">
        <x:v>0.531978324884185</x:v>
      </x:c>
      <x:c r="AD13" s="13" t="n">
        <x:v>0.307543520309478</x:v>
      </x:c>
      <x:c r="AE13" s="13" t="n">
        <x:v>0.504835589941973</x:v>
      </x:c>
      <x:c r="AF13" s="13" t="n">
        <x:v>0.293103448275862</x:v>
      </x:c>
      <x:c r="AG13" s="13" t="n">
        <x:v>0.50095785440613</x:v>
      </x:c>
    </x:row>
    <x:row r="14" ht="22" customHeight="1">
      <x:c r="A14" s="7" t="str">
        <x:v>G real</x:v>
      </x:c>
      <x:c r="B14" s="9" t="n">
        <x:v>1</x:v>
      </x:c>
      <x:c r="C14" s="11" t="n">
        <x:v>5557</x:v>
      </x:c>
      <x:c r="D14" s="11" t="n">
        <x:v>5707</x:v>
      </x:c>
      <x:c r="E14" s="13" t="n">
        <x:v>0.135075472236211</x:v>
      </x:c>
      <x:c r="F14" s="13" t="n">
        <x:v>0.260004280806308</x:v>
      </x:c>
      <x:c r="G14" s="13" t="n">
        <x:v>0.509504589245666</x:v>
      </x:c>
      <x:c r="H14" s="13" t="n">
        <x:v>0.775845410628019</x:v>
      </x:c>
      <x:c r="I14" s="13" t="n">
        <x:v>0.813370473537604</x:v>
      </x:c>
      <x:c r="J14" s="15" t="n">
        <x:v>0.930939127282944</x:v>
      </x:c>
      <x:c r="K14" s="15" t="n">
        <x:v>0.358183382397627</x:v>
      </x:c>
      <x:c r="L14" s="15" t="n">
        <x:v>0.63073038771068</x:v>
      </x:c>
      <x:c r="M14" s="15" t="n">
        <x:v>0.148758999197794</x:v>
      </x:c>
      <x:c r="N14" s="15" t="n">
        <x:v>0.22330198573415</x:v>
      </x:c>
      <x:c r="O14" s="15" t="n">
        <x:v>0.031564682616548</x:v>
      </x:c>
      <x:c r="P14" s="15" t="n">
        <x:v>0.995739514514168</x:v>
      </x:c>
      <x:c r="Q14" s="17" t="n">
        <x:v>12.077664603485616</x:v>
      </x:c>
      <x:c r="R14" s="11" t="n">
        <x:v>1035</x:v>
      </x:c>
      <x:c r="S14" s="11" t="n">
        <x:v>1077</x:v>
      </x:c>
      <x:c r="T14" s="9" t="n">
        <x:v>0</x:v>
      </x:c>
      <x:c r="U14" s="9" t="n">
        <x:v>0</x:v>
      </x:c>
      <x:c r="V14" s="9" t="n">
        <x:v>10</x:v>
      </x:c>
      <x:c r="W14" s="13" t="n">
        <x:v>0.005431925705274</x:v>
      </x:c>
      <x:c r="X14" s="13" t="n">
        <x:v>0.028783658310121</x:v>
      </x:c>
      <x:c r="Y14" s="17" t="n">
        <x:v>2.844524018895128</x:v>
      </x:c>
      <x:c r="Z14" s="15" t="n">
        <x:v>1.020907725075565</x:v>
      </x:c>
      <x:c r="AA14" s="13" t="n">
        <x:v>0.144619752266871</x:v>
      </x:c>
      <x:c r="AB14" s="13" t="n">
        <x:v>0.300936889025221</x:v>
      </x:c>
      <x:c r="AC14" s="13" t="n">
        <x:v>0.593920559254917</x:v>
      </x:c>
      <x:c r="AD14" s="13" t="n">
        <x:v>0.323671497584541</x:v>
      </x:c>
      <x:c r="AE14" s="13" t="n">
        <x:v>0.518840579710145</x:v>
      </x:c>
      <x:c r="AF14" s="13" t="n">
        <x:v>0.304549675023213</x:v>
      </x:c>
      <x:c r="AG14" s="13" t="n">
        <x:v>0.51439182915506</x:v>
      </x:c>
    </x:row>
    <x:row r="15" ht="22" customHeight="1">
      <x:c r="A15" s="7" t="str">
        <x:v>G real</x:v>
      </x:c>
      <x:c r="B15" s="9" t="n">
        <x:v>2</x:v>
      </x:c>
      <x:c r="C15" s="11" t="n">
        <x:v>5926</x:v>
      </x:c>
      <x:c r="D15" s="11" t="n">
        <x:v>5680</x:v>
      </x:c>
      <x:c r="E15" s="13" t="n">
        <x:v>0.127644562082212</x:v>
      </x:c>
      <x:c r="F15" s="13" t="n">
        <x:v>0.253607958522982</x:v>
      </x:c>
      <x:c r="G15" s="13" t="n">
        <x:v>0.436342345887194</x:v>
      </x:c>
      <x:c r="H15" s="13" t="n">
        <x:v>0.752436647173489</x:v>
      </x:c>
      <x:c r="I15" s="13" t="n">
        <x:v>0.785507246376812</x:v>
      </x:c>
      <x:c r="J15" s="15" t="n">
        <x:v>0.93581098436957</x:v>
      </x:c>
      <x:c r="K15" s="15" t="n">
        <x:v>0.355857728889588</x:v>
      </x:c>
      <x:c r="L15" s="15" t="n">
        <x:v>0.572969417597952</x:v>
      </x:c>
      <x:c r="M15" s="15" t="n">
        <x:v>0.15268588412011</x:v>
      </x:c>
      <x:c r="N15" s="15" t="n">
        <x:v>0.218388480322412</x:v>
      </x:c>
      <x:c r="O15" s="15" t="n">
        <x:v>0.016603247565039</x:v>
      </x:c>
      <x:c r="P15" s="15" t="n">
        <x:v>0.997054927623516</x:v>
      </x:c>
      <x:c r="Q15" s="17" t="n">
        <x:v>11.910737201954316</x:v>
      </x:c>
      <x:c r="R15" s="11" t="n">
        <x:v>1026</x:v>
      </x:c>
      <x:c r="S15" s="11" t="n">
        <x:v>1035</x:v>
      </x:c>
      <x:c r="T15" s="9" t="n">
        <x:v>0</x:v>
      </x:c>
      <x:c r="U15" s="9" t="n">
        <x:v>0</x:v>
      </x:c>
      <x:c r="V15" s="9" t="n">
        <x:v>11</x:v>
      </x:c>
      <x:c r="W15" s="13" t="n">
        <x:v>0.004929577464789</x:v>
      </x:c>
      <x:c r="X15" s="13" t="n">
        <x:v>0.027053140096618</x:v>
      </x:c>
      <x:c r="Y15" s="17" t="n">
        <x:v>3.47358800091848</x:v>
      </x:c>
      <x:c r="Z15" s="15" t="n">
        <x:v>0.990217557244778</x:v>
      </x:c>
      <x:c r="AA15" s="13" t="n">
        <x:v>0.123806628544672</x:v>
      </x:c>
      <x:c r="AB15" s="13" t="n">
        <x:v>0.251150558201483</x:v>
      </x:c>
      <x:c r="AC15" s="13" t="n">
        <x:v>0.458052081923141</x:v>
      </x:c>
      <x:c r="AD15" s="13" t="n">
        <x:v>0.301169590643275</x:v>
      </x:c>
      <x:c r="AE15" s="13" t="n">
        <x:v>0.500974658869396</x:v>
      </x:c>
      <x:c r="AF15" s="13" t="n">
        <x:v>0.294685990338164</x:v>
      </x:c>
      <x:c r="AG15" s="13" t="n">
        <x:v>0.501449275362319</x:v>
      </x:c>
    </x:row>
    <x:row r="16" ht="22" customHeight="1">
      <x:c r="A16" s="7" t="str">
        <x:v>G real</x:v>
      </x:c>
      <x:c r="B16" s="9" t="n">
        <x:v>3</x:v>
      </x:c>
      <x:c r="C16" s="11" t="n">
        <x:v>5803</x:v>
      </x:c>
      <x:c r="D16" s="11" t="n">
        <x:v>5735</x:v>
      </x:c>
      <x:c r="E16" s="13" t="n">
        <x:v>0.160404110035762</x:v>
      </x:c>
      <x:c r="F16" s="13" t="n">
        <x:v>0.296605752779657</x:v>
      </x:c>
      <x:c r="G16" s="13" t="n">
        <x:v>0.54789033579648</x:v>
      </x:c>
      <x:c r="H16" s="13" t="n">
        <x:v>0.779497098646035</x:v>
      </x:c>
      <x:c r="I16" s="13" t="n">
        <x:v>0.831417624521073</x:v>
      </x:c>
      <x:c r="J16" s="15" t="n">
        <x:v>0.943245253326824</x:v>
      </x:c>
      <x:c r="K16" s="15" t="n">
        <x:v>0.371896078460832</x:v>
      </x:c>
      <x:c r="L16" s="15" t="n">
        <x:v>0.612623531661711</x:v>
      </x:c>
      <x:c r="M16" s="15" t="n">
        <x:v>0.138457380295584</x:v>
      </x:c>
      <x:c r="N16" s="15" t="n">
        <x:v>0.225483133530046</x:v>
      </x:c>
      <x:c r="O16" s="15" t="n">
        <x:v>0.024759943636164</x:v>
      </x:c>
      <x:c r="P16" s="15" t="n">
        <x:v>0.994370031546517</x:v>
      </x:c>
      <x:c r="Q16" s="17" t="n">
        <x:v>11.858096181784491</x:v>
      </x:c>
      <x:c r="R16" s="11" t="n">
        <x:v>1034</x:v>
      </x:c>
      <x:c r="S16" s="11" t="n">
        <x:v>1044</x:v>
      </x:c>
      <x:c r="T16" s="9" t="n">
        <x:v>0</x:v>
      </x:c>
      <x:c r="U16" s="9" t="n">
        <x:v>0</x:v>
      </x:c>
      <x:c r="V16" s="9" t="n">
        <x:v>11</x:v>
      </x:c>
      <x:c r="W16" s="13" t="n">
        <x:v>0.004533565823888</x:v>
      </x:c>
      <x:c r="X16" s="13" t="n">
        <x:v>0.024904214559387</x:v>
      </x:c>
      <x:c r="Y16" s="17" t="n">
        <x:v>4.327300591618035</x:v>
      </x:c>
      <x:c r="Z16" s="15" t="n">
        <x:v>0.997461765535541</x:v>
      </x:c>
      <x:c r="AA16" s="13" t="n">
        <x:v>0.150792823106366</x:v>
      </x:c>
      <x:c r="AB16" s="13" t="n">
        <x:v>0.294190129622166</x:v>
      </x:c>
      <x:c r="AC16" s="13" t="n">
        <x:v>0.535593101703297</x:v>
      </x:c>
      <x:c r="AD16" s="13" t="n">
        <x:v>0.316247582205029</x:v>
      </x:c>
      <x:c r="AE16" s="13" t="n">
        <x:v>0.506769825918762</x:v>
      </x:c>
      <x:c r="AF16" s="13" t="n">
        <x:v>0.299808429118774</x:v>
      </x:c>
      <x:c r="AG16" s="13" t="n">
        <x:v>0.501915708812261</x:v>
      </x:c>
    </x:row>
    <x:row r="17" ht="22" customHeight="1">
      <x:c r="A17" s="7" t="str">
        <x:v>G zero</x:v>
      </x:c>
      <x:c r="B17" s="9" t="n">
        <x:v>1</x:v>
      </x:c>
      <x:c r="C17" s="11" t="n">
        <x:v>5557</x:v>
      </x:c>
      <x:c r="D17" s="11" t="n">
        <x:v>5707</x:v>
      </x:c>
      <x:c r="E17" s="13" t="n">
        <x:v>0.131634239567278</x:v>
      </x:c>
      <x:c r="F17" s="13" t="n">
        <x:v>0.273408639053038</x:v>
      </x:c>
      <x:c r="G17" s="13" t="n">
        <x:v>0.50624551372715</x:v>
      </x:c>
      <x:c r="H17" s="13" t="n">
        <x:v>0.779710144927536</x:v>
      </x:c>
      <x:c r="I17" s="13" t="n">
        <x:v>0.81058495821727</x:v>
      </x:c>
      <x:c r="J17" s="15" t="n">
        <x:v>0.930620373281603</x:v>
      </x:c>
      <x:c r="K17" s="15" t="n">
        <x:v>0.361880124400078</x:v>
      </x:c>
      <x:c r="L17" s="15" t="n">
        <x:v>0.647727672818097</x:v>
      </x:c>
      <x:c r="M17" s="15" t="n">
        <x:v>0.150303121994309</x:v>
      </x:c>
      <x:c r="N17" s="15" t="n">
        <x:v>0.222771001055359</x:v>
      </x:c>
      <x:c r="O17" s="15" t="n">
        <x:v>0.031564682616548</x:v>
      </x:c>
      <x:c r="P17" s="15" t="n">
        <x:v>0.995776275741263</x:v>
      </x:c>
      <x:c r="Q17" s="17" t="n">
        <x:v>12.104738294106628</x:v>
      </x:c>
      <x:c r="R17" s="11" t="n">
        <x:v>1035</x:v>
      </x:c>
      <x:c r="S17" s="11" t="n">
        <x:v>1077</x:v>
      </x:c>
      <x:c r="T17" s="9" t="n">
        <x:v>0</x:v>
      </x:c>
      <x:c r="U17" s="9" t="n">
        <x:v>0</x:v>
      </x:c>
      <x:c r="V17" s="9" t="n">
        <x:v>10</x:v>
      </x:c>
      <x:c r="W17" s="13" t="n">
        <x:v>0.005431925705274</x:v>
      </x:c>
      <x:c r="X17" s="13" t="n">
        <x:v>0.028783658310121</x:v>
      </x:c>
      <x:c r="Y17" s="17" t="n">
        <x:v>2.7241687102267</x:v>
      </x:c>
      <x:c r="Z17" s="15" t="n">
        <x:v>1.021166520909612</x:v>
      </x:c>
      <x:c r="AA17" s="13" t="n">
        <x:v>0.144537445765985</x:v>
      </x:c>
      <x:c r="AB17" s="13" t="n">
        <x:v>0.300395855457555</x:v>
      </x:c>
      <x:c r="AC17" s="13" t="n">
        <x:v>0.591034089552063</x:v>
      </x:c>
      <x:c r="AD17" s="13" t="n">
        <x:v>0.315942028985507</x:v>
      </x:c>
      <x:c r="AE17" s="13" t="n">
        <x:v>0.527536231884058</x:v>
      </x:c>
      <x:c r="AF17" s="13" t="n">
        <x:v>0.305478180129991</x:v>
      </x:c>
      <x:c r="AG17" s="13" t="n">
        <x:v>0.516248839368617</x:v>
      </x:c>
    </x:row>
    <x:row r="18" ht="22" customHeight="1">
      <x:c r="A18" s="7" t="str">
        <x:v>G zero</x:v>
      </x:c>
      <x:c r="B18" s="9" t="n">
        <x:v>2</x:v>
      </x:c>
      <x:c r="C18" s="11" t="n">
        <x:v>5926</x:v>
      </x:c>
      <x:c r="D18" s="11" t="n">
        <x:v>5680</x:v>
      </x:c>
      <x:c r="E18" s="13" t="n">
        <x:v>0.128513403822323</x:v>
      </x:c>
      <x:c r="F18" s="13" t="n">
        <x:v>0.253471550467818</x:v>
      </x:c>
      <x:c r="G18" s="13" t="n">
        <x:v>0.442631409353449</x:v>
      </x:c>
      <x:c r="H18" s="13" t="n">
        <x:v>0.764132553606238</x:v>
      </x:c>
      <x:c r="I18" s="13" t="n">
        <x:v>0.783574879227053</x:v>
      </x:c>
      <x:c r="J18" s="15" t="n">
        <x:v>0.935864308091271</x:v>
      </x:c>
      <x:c r="K18" s="15" t="n">
        <x:v>0.368073111624382</x:v>
      </x:c>
      <x:c r="L18" s="15" t="n">
        <x:v>0.572727848280124</x:v>
      </x:c>
      <x:c r="M18" s="15" t="n">
        <x:v>0.148466533252841</x:v>
      </x:c>
      <x:c r="N18" s="15" t="n">
        <x:v>0.21761802477324</x:v>
      </x:c>
      <x:c r="O18" s="15" t="n">
        <x:v>0.016603247565039</x:v>
      </x:c>
      <x:c r="P18" s="15" t="n">
        <x:v>0.997031023575182</x:v>
      </x:c>
      <x:c r="Q18" s="17" t="n">
        <x:v>11.82866285747685</x:v>
      </x:c>
      <x:c r="R18" s="11" t="n">
        <x:v>1026</x:v>
      </x:c>
      <x:c r="S18" s="11" t="n">
        <x:v>1035</x:v>
      </x:c>
      <x:c r="T18" s="9" t="n">
        <x:v>0</x:v>
      </x:c>
      <x:c r="U18" s="9" t="n">
        <x:v>0</x:v>
      </x:c>
      <x:c r="V18" s="9" t="n">
        <x:v>11</x:v>
      </x:c>
      <x:c r="W18" s="13" t="n">
        <x:v>0.004929577464789</x:v>
      </x:c>
      <x:c r="X18" s="13" t="n">
        <x:v>0.027053140096618</x:v>
      </x:c>
      <x:c r="Y18" s="17" t="n">
        <x:v>3.207936034305262</x:v>
      </x:c>
      <x:c r="Z18" s="15" t="n">
        <x:v>0.990387182686391</x:v>
      </x:c>
      <x:c r="AA18" s="13" t="n">
        <x:v>0.122465168037897</x:v>
      </x:c>
      <x:c r="AB18" s="13" t="n">
        <x:v>0.25128936303229</x:v>
      </x:c>
      <x:c r="AC18" s="13" t="n">
        <x:v>0.458502834695876</x:v>
      </x:c>
      <x:c r="AD18" s="13" t="n">
        <x:v>0.298245614035088</x:v>
      </x:c>
      <x:c r="AE18" s="13" t="n">
        <x:v>0.5</x:v>
      </x:c>
      <x:c r="AF18" s="13" t="n">
        <x:v>0.290821256038647</x:v>
      </x:c>
      <x:c r="AG18" s="13" t="n">
        <x:v>0.501449275362319</x:v>
      </x:c>
    </x:row>
    <x:row r="19" ht="22" customHeight="1">
      <x:c r="A19" s="7" t="str">
        <x:v>G zero</x:v>
      </x:c>
      <x:c r="B19" s="9" t="n">
        <x:v>3</x:v>
      </x:c>
      <x:c r="C19" s="11" t="n">
        <x:v>5803</x:v>
      </x:c>
      <x:c r="D19" s="11" t="n">
        <x:v>5735</x:v>
      </x:c>
      <x:c r="E19" s="13" t="n">
        <x:v>0.13599175894537</x:v>
      </x:c>
      <x:c r="F19" s="13" t="n">
        <x:v>0.294677007259222</x:v>
      </x:c>
      <x:c r="G19" s="13" t="n">
        <x:v>0.546588991221766</x:v>
      </x:c>
      <x:c r="H19" s="13" t="n">
        <x:v>0.779497098646035</x:v>
      </x:c>
      <x:c r="I19" s="13" t="n">
        <x:v>0.828544061302682</x:v>
      </x:c>
      <x:c r="J19" s="15" t="n">
        <x:v>0.943934215205201</x:v>
      </x:c>
      <x:c r="K19" s="15" t="n">
        <x:v>0.388741415770283</x:v>
      </x:c>
      <x:c r="L19" s="15" t="n">
        <x:v>0.616363565412056</x:v>
      </x:c>
      <x:c r="M19" s="15" t="n">
        <x:v>0.138838117132992</x:v>
      </x:c>
      <x:c r="N19" s="15" t="n">
        <x:v>0.225263043210656</x:v>
      </x:c>
      <x:c r="O19" s="15" t="n">
        <x:v>0.024759943636164</x:v>
      </x:c>
      <x:c r="P19" s="15" t="n">
        <x:v>0.994437977699996</x:v>
      </x:c>
      <x:c r="Q19" s="17" t="n">
        <x:v>11.84152269844451</x:v>
      </x:c>
      <x:c r="R19" s="11" t="n">
        <x:v>1034</x:v>
      </x:c>
      <x:c r="S19" s="11" t="n">
        <x:v>1044</x:v>
      </x:c>
      <x:c r="T19" s="9" t="n">
        <x:v>0</x:v>
      </x:c>
      <x:c r="U19" s="9" t="n">
        <x:v>0</x:v>
      </x:c>
      <x:c r="V19" s="9" t="n">
        <x:v>11</x:v>
      </x:c>
      <x:c r="W19" s="13" t="n">
        <x:v>0.004533565823888</x:v>
      </x:c>
      <x:c r="X19" s="13" t="n">
        <x:v>0.024904214559387</x:v>
      </x:c>
      <x:c r="Y19" s="17" t="n">
        <x:v>3.93975064368251</x:v>
      </x:c>
      <x:c r="Z19" s="15" t="n">
        <x:v>0.997716878292158</x:v>
      </x:c>
      <x:c r="AA19" s="13" t="n">
        <x:v>0.130614580683668</x:v>
      </x:c>
      <x:c r="AB19" s="13" t="n">
        <x:v>0.303297207205962</x:v>
      </x:c>
      <x:c r="AC19" s="13" t="n">
        <x:v>0.531682189490307</x:v>
      </x:c>
      <x:c r="AD19" s="13" t="n">
        <x:v>0.299806576402321</x:v>
      </x:c>
      <x:c r="AE19" s="13" t="n">
        <x:v>0.506769825918762</x:v>
      </x:c>
      <x:c r="AF19" s="13" t="n">
        <x:v>0.28639846743295</x:v>
      </x:c>
      <x:c r="AG19" s="13" t="n">
        <x:v>0.512452107279694</x:v>
      </x:c>
    </x:row>
    <x:row r="20" ht="22" customHeight="1">
      <x:c r="A20" s="7" t="str">
        <x:v>G shuffle</x:v>
      </x:c>
      <x:c r="B20" s="9" t="n">
        <x:v>1</x:v>
      </x:c>
      <x:c r="C20" s="11" t="n">
        <x:v>5557</x:v>
      </x:c>
      <x:c r="D20" s="11" t="n">
        <x:v>5707</x:v>
      </x:c>
      <x:c r="E20" s="13" t="n">
        <x:v>0.128707575364054</x:v>
      </x:c>
      <x:c r="F20" s="13" t="n">
        <x:v>0.2701563185107</x:v>
      </x:c>
      <x:c r="G20" s="13" t="n">
        <x:v>0.504343334040912</x:v>
      </x:c>
      <x:c r="H20" s="13" t="n">
        <x:v>0.779710144927536</x:v>
      </x:c>
      <x:c r="I20" s="13" t="n">
        <x:v>0.811513463324048</x:v>
      </x:c>
      <x:c r="J20" s="15" t="n">
        <x:v>0.931556336504918</x:v>
      </x:c>
      <x:c r="K20" s="15" t="n">
        <x:v>0.361223031372458</x:v>
      </x:c>
      <x:c r="L20" s="15" t="n">
        <x:v>0.637549529391722</x:v>
      </x:c>
      <x:c r="M20" s="15" t="n">
        <x:v>0.149337138701043</x:v>
      </x:c>
      <x:c r="N20" s="15" t="n">
        <x:v>0.223111346396001</x:v>
      </x:c>
      <x:c r="O20" s="15" t="n">
        <x:v>0.031564682616548</x:v>
      </x:c>
      <x:c r="P20" s="15" t="n">
        <x:v>0.995743610124165</x:v>
      </x:c>
      <x:c r="Q20" s="17" t="n">
        <x:v>12.037442745157673</x:v>
      </x:c>
      <x:c r="R20" s="11" t="n">
        <x:v>1035</x:v>
      </x:c>
      <x:c r="S20" s="11" t="n">
        <x:v>1077</x:v>
      </x:c>
      <x:c r="T20" s="9" t="n">
        <x:v>0</x:v>
      </x:c>
      <x:c r="U20" s="9" t="n">
        <x:v>0</x:v>
      </x:c>
      <x:c r="V20" s="9" t="n">
        <x:v>10</x:v>
      </x:c>
      <x:c r="W20" s="13" t="n">
        <x:v>0.005431925705274</x:v>
      </x:c>
      <x:c r="X20" s="13" t="n">
        <x:v>0.028783658310121</x:v>
      </x:c>
      <x:c r="Y20" s="17" t="n">
        <x:v>2.77600103309935</x:v>
      </x:c>
      <x:c r="Z20" s="15" t="n">
        <x:v>1.02062479216039</x:v>
      </x:c>
      <x:c r="AA20" s="13" t="n">
        <x:v>0.140899680043808</x:v>
      </x:c>
      <x:c r="AB20" s="13" t="n">
        <x:v>0.308533106769843</x:v>
      </x:c>
      <x:c r="AC20" s="13" t="n">
        <x:v>0.592080593124484</x:v>
      </x:c>
      <x:c r="AD20" s="13" t="n">
        <x:v>0.316908212560386</x:v>
      </x:c>
      <x:c r="AE20" s="13" t="n">
        <x:v>0.527536231884058</x:v>
      </x:c>
      <x:c r="AF20" s="13" t="n">
        <x:v>0.301764159702878</x:v>
      </x:c>
      <x:c r="AG20" s="13" t="n">
        <x:v>0.513463324048282</x:v>
      </x:c>
    </x:row>
    <x:row r="21" ht="22" customHeight="1">
      <x:c r="A21" s="7" t="str">
        <x:v>G shuffle</x:v>
      </x:c>
      <x:c r="B21" s="9" t="n">
        <x:v>2</x:v>
      </x:c>
      <x:c r="C21" s="11" t="n">
        <x:v>5926</x:v>
      </x:c>
      <x:c r="D21" s="11" t="n">
        <x:v>5680</x:v>
      </x:c>
      <x:c r="E21" s="13" t="n">
        <x:v>0.124289059178925</x:v>
      </x:c>
      <x:c r="F21" s="13" t="n">
        <x:v>0.257027806991593</x:v>
      </x:c>
      <x:c r="G21" s="13" t="n">
        <x:v>0.437433301961568</x:v>
      </x:c>
      <x:c r="H21" s="13" t="n">
        <x:v>0.757309941520468</x:v>
      </x:c>
      <x:c r="I21" s="13" t="n">
        <x:v>0.784541062801932</x:v>
      </x:c>
      <x:c r="J21" s="15" t="n">
        <x:v>0.936045675226866</x:v>
      </x:c>
      <x:c r="K21" s="15" t="n">
        <x:v>0.368524438207903</x:v>
      </x:c>
      <x:c r="L21" s="15" t="n">
        <x:v>0.586345533312231</x:v>
      </x:c>
      <x:c r="M21" s="15" t="n">
        <x:v>0.147747691005975</x:v>
      </x:c>
      <x:c r="N21" s="15" t="n">
        <x:v>0.217637632334634</x:v>
      </x:c>
      <x:c r="O21" s="15" t="n">
        <x:v>0.016603247565039</x:v>
      </x:c>
      <x:c r="P21" s="15" t="n">
        <x:v>0.996963397141053</x:v>
      </x:c>
      <x:c r="Q21" s="17" t="n">
        <x:v>11.883238442814443</x:v>
      </x:c>
      <x:c r="R21" s="11" t="n">
        <x:v>1026</x:v>
      </x:c>
      <x:c r="S21" s="11" t="n">
        <x:v>1035</x:v>
      </x:c>
      <x:c r="T21" s="9" t="n">
        <x:v>0</x:v>
      </x:c>
      <x:c r="U21" s="9" t="n">
        <x:v>0</x:v>
      </x:c>
      <x:c r="V21" s="9" t="n">
        <x:v>11</x:v>
      </x:c>
      <x:c r="W21" s="13" t="n">
        <x:v>0.004929577464789</x:v>
      </x:c>
      <x:c r="X21" s="13" t="n">
        <x:v>0.027053140096618</x:v>
      </x:c>
      <x:c r="Y21" s="17" t="n">
        <x:v>3.236979015571067</x:v>
      </x:c>
      <x:c r="Z21" s="15" t="n">
        <x:v>0.9904359567607</x:v>
      </x:c>
      <x:c r="AA21" s="13" t="n">
        <x:v>0.117972396815218</x:v>
      </x:c>
      <x:c r="AB21" s="13" t="n">
        <x:v>0.25057991655749</x:v>
      </x:c>
      <x:c r="AC21" s="13" t="n">
        <x:v>0.4578938602098</x:v>
      </x:c>
      <x:c r="AD21" s="13" t="n">
        <x:v>0.299220272904483</x:v>
      </x:c>
      <x:c r="AE21" s="13" t="n">
        <x:v>0.504873294346979</x:v>
      </x:c>
      <x:c r="AF21" s="13" t="n">
        <x:v>0.285990338164251</x:v>
      </x:c>
      <x:c r="AG21" s="13" t="n">
        <x:v>0.498550724637681</x:v>
      </x:c>
    </x:row>
    <x:row r="22" ht="22" customHeight="1">
      <x:c r="A22" s="7" t="str">
        <x:v>G shuffle</x:v>
      </x:c>
      <x:c r="B22" s="9" t="n">
        <x:v>3</x:v>
      </x:c>
      <x:c r="C22" s="11" t="n">
        <x:v>5803</x:v>
      </x:c>
      <x:c r="D22" s="11" t="n">
        <x:v>5735</x:v>
      </x:c>
      <x:c r="E22" s="13" t="n">
        <x:v>0.15917219852436</x:v>
      </x:c>
      <x:c r="F22" s="13" t="n">
        <x:v>0.295791062327095</x:v>
      </x:c>
      <x:c r="G22" s="13" t="n">
        <x:v>0.551094674463263</x:v>
      </x:c>
      <x:c r="H22" s="13" t="n">
        <x:v>0.782398452611218</x:v>
      </x:c>
      <x:c r="I22" s="13" t="n">
        <x:v>0.826628352490421</x:v>
      </x:c>
      <x:c r="J22" s="15" t="n">
        <x:v>0.943080861814326</x:v>
      </x:c>
      <x:c r="K22" s="15" t="n">
        <x:v>0.386297961404484</x:v>
      </x:c>
      <x:c r="L22" s="15" t="n">
        <x:v>0.602788063986235</x:v>
      </x:c>
      <x:c r="M22" s="15" t="n">
        <x:v>0.137469736138945</x:v>
      </x:c>
      <x:c r="N22" s="15" t="n">
        <x:v>0.225100552066069</x:v>
      </x:c>
      <x:c r="O22" s="15" t="n">
        <x:v>0.024759943636164</x:v>
      </x:c>
      <x:c r="P22" s="15" t="n">
        <x:v>0.994298414111549</x:v>
      </x:c>
      <x:c r="Q22" s="17" t="n">
        <x:v>11.864876237070042</x:v>
      </x:c>
      <x:c r="R22" s="11" t="n">
        <x:v>1034</x:v>
      </x:c>
      <x:c r="S22" s="11" t="n">
        <x:v>1044</x:v>
      </x:c>
      <x:c r="T22" s="9" t="n">
        <x:v>0</x:v>
      </x:c>
      <x:c r="U22" s="9" t="n">
        <x:v>0</x:v>
      </x:c>
      <x:c r="V22" s="9" t="n">
        <x:v>11</x:v>
      </x:c>
      <x:c r="W22" s="13" t="n">
        <x:v>0.004533565823888</x:v>
      </x:c>
      <x:c r="X22" s="13" t="n">
        <x:v>0.024904214559387</x:v>
      </x:c>
      <x:c r="Y22" s="17" t="n">
        <x:v>3.909096010682365</x:v>
      </x:c>
      <x:c r="Z22" s="15" t="n">
        <x:v>0.997793610369144</x:v>
      </x:c>
      <x:c r="AA22" s="13" t="n">
        <x:v>0.143862127880063</x:v>
      </x:c>
      <x:c r="AB22" s="13" t="n">
        <x:v>0.305535542279654</x:v>
      </x:c>
      <x:c r="AC22" s="13" t="n">
        <x:v>0.535747388654356</x:v>
      </x:c>
      <x:c r="AD22" s="13" t="n">
        <x:v>0.315280464216634</x:v>
      </x:c>
      <x:c r="AE22" s="13" t="n">
        <x:v>0.507736943907157</x:v>
      </x:c>
      <x:c r="AF22" s="13" t="n">
        <x:v>0.293103448275862</x:v>
      </x:c>
      <x:c r="AG22" s="13" t="n">
        <x:v>0.511494252873563</x:v>
      </x:c>
    </x:row>
  </x:sheetData>
  <x:pageMargins left="0.7" right="0.7" top="0.75" bottom="0.75" header="0.3" footer="0.3"/>
  <x:tableParts count="1">
    <x:tablePart xmlns:r="http://schemas.openxmlformats.org/officeDocument/2006/relationships" r:id="R2b2efa9e00104522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9" hidden="0" customWidth="1"/>
    <x:col min="2" max="2" width="10" hidden="0" customWidth="1"/>
    <x:col min="3" max="3" width="21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21" hidden="0" customWidth="1"/>
    <x:col min="19" max="19" width="23" hidden="0" customWidth="1"/>
    <x:col min="20" max="20" width="23" hidden="0" customWidth="1"/>
    <x:col min="21" max="21" width="16" hidden="0" customWidth="1"/>
  </x:cols>
  <x:sheetData>
    <x:row r="1" ht="42" customHeight="1">
      <x:c r="A1" s="6" t="str">
        <x:v>方法</x:v>
      </x:c>
      <x:c r="B1" s="6" t="str">
        <x:v>留出切片</x:v>
      </x:c>
      <x:c r="C1" s="6" t="str">
        <x:v>细胞类型</x:v>
      </x:c>
      <x:c r="D1" s="6" t="str">
        <x:v>训练细胞数</x:v>
      </x:c>
      <x:c r="E1" s="6" t="str">
        <x:v>可见训练丰度</x:v>
      </x:c>
      <x:c r="F1" s="6" t="str">
        <x:v>是否稀有</x:v>
      </x:c>
      <x:c r="G1" s="6" t="str">
        <x:v>真实细胞数</x:v>
      </x:c>
      <x:c r="H1" s="6" t="str">
        <x:v>预测细胞数</x:v>
      </x:c>
      <x:c r="I1" s="6" t="str">
        <x:v>真实比例</x:v>
      </x:c>
      <x:c r="J1" s="6" t="str">
        <x:v>预测比例</x:v>
      </x:c>
      <x:c r="K1" s="6" t="str">
        <x:v>比例误差(pp)</x:v>
      </x:c>
      <x:c r="L1" s="6" t="str">
        <x:v>同类召回25µm</x:v>
      </x:c>
      <x:c r="M1" s="6" t="str">
        <x:v>同类召回50µm</x:v>
      </x:c>
      <x:c r="N1" s="6" t="str">
        <x:v>同类召回100µm</x:v>
      </x:c>
      <x:c r="O1" s="6" t="str">
        <x:v>同类精确率25µm</x:v>
      </x:c>
      <x:c r="P1" s="6" t="str">
        <x:v>同类精确率50µm</x:v>
      </x:c>
      <x:c r="Q1" s="6" t="str">
        <x:v>同类精确率100µm</x:v>
      </x:c>
      <x:c r="R1" s="6" t="str">
        <x:v>均值log表达PCC</x:v>
      </x:c>
      <x:c r="S1" s="6" t="str">
        <x:v>真值到预测均距µm</x:v>
      </x:c>
      <x:c r="T1" s="6" t="str">
        <x:v>预测到真值均距µm</x:v>
      </x:c>
      <x:c r="U1" s="6" t="str">
        <x:v>预测是否缺失</x:v>
      </x:c>
    </x:row>
    <x:row r="2" ht="22" customHeight="1">
      <x:c r="A2" s="7" t="str">
        <x:v>DeepSpatial</x:v>
      </x:c>
      <x:c r="B2" s="9" t="n">
        <x:v>1</x:v>
      </x:c>
      <x:c r="C2" s="7" t="str">
        <x:v>Astrocyte</x:v>
      </x:c>
      <x:c r="D2" s="11" t="n">
        <x:v>2772</x:v>
      </x:c>
      <x:c r="E2" s="22" t="n">
        <x:v>0.121792618629174</x:v>
      </x:c>
      <x:c r="F2" s="23" t="b">
        <x:v>0</x:v>
      </x:c>
      <x:c r="G2" s="11" t="n">
        <x:v>634</x:v>
      </x:c>
      <x:c r="H2" s="11" t="n">
        <x:v>692</x:v>
      </x:c>
      <x:c r="I2" s="13" t="n">
        <x:v>0.114090336512507</x:v>
      </x:c>
      <x:c r="J2" s="13" t="n">
        <x:v>0.121702427013718</x:v>
      </x:c>
      <x:c r="K2" s="17" t="n">
        <x:v>0.761209050121116</x:v>
      </x:c>
      <x:c r="L2" s="13" t="n">
        <x:v>0.294952681388013</x:v>
      </x:c>
      <x:c r="M2" s="13" t="n">
        <x:v>0.623028391167192</x:v>
      </x:c>
      <x:c r="N2" s="13" t="n">
        <x:v>0.862776025236593</x:v>
      </x:c>
      <x:c r="O2" s="13" t="n">
        <x:v>0.34971098265896</x:v>
      </x:c>
      <x:c r="P2" s="13" t="n">
        <x:v>0.796242774566474</x:v>
      </x:c>
      <x:c r="Q2" s="13" t="n">
        <x:v>0.991329479768786</x:v>
      </x:c>
      <x:c r="R2" s="15" t="n">
        <x:v>0.989814579739268</x:v>
      </x:c>
      <x:c r="S2" s="17" t="n">
        <x:v>54.05862403682161</x:v>
      </x:c>
      <x:c r="T2" s="17" t="n">
        <x:v>35.75364739778677</x:v>
      </x:c>
      <x:c r="U2" s="23" t="b">
        <x:v>0</x:v>
      </x:c>
    </x:row>
    <x:row r="3" ht="22" customHeight="1">
      <x:c r="A3" s="7" t="str">
        <x:v>DeepSpatial</x:v>
      </x:c>
      <x:c r="B3" s="9" t="n">
        <x:v>1</x:v>
      </x:c>
      <x:c r="C3" s="7" t="str">
        <x:v>Endothelial 1</x:v>
      </x:c>
      <x:c r="D3" s="11" t="n">
        <x:v>1209</x:v>
      </x:c>
      <x:c r="E3" s="22" t="n">
        <x:v>0.053119507908612</x:v>
      </x:c>
      <x:c r="F3" s="23" t="b">
        <x:v>0</x:v>
      </x:c>
      <x:c r="G3" s="11" t="n">
        <x:v>271</x:v>
      </x:c>
      <x:c r="H3" s="11" t="n">
        <x:v>279</x:v>
      </x:c>
      <x:c r="I3" s="13" t="n">
        <x:v>0.048767320496671</x:v>
      </x:c>
      <x:c r="J3" s="13" t="n">
        <x:v>0.049067886035878</x:v>
      </x:c>
      <x:c r="K3" s="17" t="n">
        <x:v>0.030056553920672</x:v>
      </x:c>
      <x:c r="L3" s="13" t="n">
        <x:v>0.11070110701107</x:v>
      </x:c>
      <x:c r="M3" s="13" t="n">
        <x:v>0.420664206642066</x:v>
      </x:c>
      <x:c r="N3" s="13" t="n">
        <x:v>0.712177121771218</x:v>
      </x:c>
      <x:c r="O3" s="13" t="n">
        <x:v>0.129032258064516</x:v>
      </x:c>
      <x:c r="P3" s="13" t="n">
        <x:v>0.462365591397849</x:v>
      </x:c>
      <x:c r="Q3" s="13" t="n">
        <x:v>0.827956989247312</x:v>
      </x:c>
      <x:c r="R3" s="15" t="n">
        <x:v>0.985445186417938</x:v>
      </x:c>
      <x:c r="S3" s="17" t="n">
        <x:v>82.17614408387333</x:v>
      </x:c>
      <x:c r="T3" s="17" t="n">
        <x:v>61.73864586454813</x:v>
      </x:c>
      <x:c r="U3" s="23" t="b">
        <x:v>0</x:v>
      </x:c>
    </x:row>
    <x:row r="4" ht="22" customHeight="1">
      <x:c r="A4" s="7" t="str">
        <x:v>DeepSpatial</x:v>
      </x:c>
      <x:c r="B4" s="9" t="n">
        <x:v>1</x:v>
      </x:c>
      <x:c r="C4" s="7" t="str">
        <x:v>Endothelial 2</x:v>
      </x:c>
      <x:c r="D4" s="11" t="n">
        <x:v>103</x:v>
      </x:c>
      <x:c r="E4" s="22" t="n">
        <x:v>0.004525483304042</x:v>
      </x:c>
      <x:c r="F4" s="23" t="b">
        <x:v>1</x:v>
      </x:c>
      <x:c r="G4" s="11" t="n">
        <x:v>41</x:v>
      </x:c>
      <x:c r="H4" s="11" t="n">
        <x:v>31</x:v>
      </x:c>
      <x:c r="I4" s="13" t="n">
        <x:v>0.007378081698758</x:v>
      </x:c>
      <x:c r="J4" s="13" t="n">
        <x:v>0.00545198733732</x:v>
      </x:c>
      <x:c r="K4" s="17" t="n">
        <x:v>-0.192609436143859</x:v>
      </x:c>
      <x:c r="L4" s="13" t="n">
        <x:v>0.024390243902439</x:v>
      </x:c>
      <x:c r="M4" s="13" t="n">
        <x:v>0.146341463414634</x:v>
      </x:c>
      <x:c r="N4" s="13" t="n">
        <x:v>0.414634146341463</x:v>
      </x:c>
      <x:c r="O4" s="13" t="n">
        <x:v>0.032258064516129</x:v>
      </x:c>
      <x:c r="P4" s="13" t="n">
        <x:v>0.129032258064516</x:v>
      </x:c>
      <x:c r="Q4" s="13" t="n">
        <x:v>0.483870967741936</x:v>
      </x:c>
      <x:c r="R4" s="15" t="n">
        <x:v>0.935416364761023</x:v>
      </x:c>
      <x:c r="S4" s="17" t="n">
        <x:v>159.50155950983256</x:v>
      </x:c>
      <x:c r="T4" s="17" t="n">
        <x:v>138.55831524566406</x:v>
      </x:c>
      <x:c r="U4" s="23" t="b">
        <x:v>0</x:v>
      </x:c>
    </x:row>
    <x:row r="5" ht="22" customHeight="1">
      <x:c r="A5" s="7" t="str">
        <x:v>DeepSpatial</x:v>
      </x:c>
      <x:c r="B5" s="9" t="n">
        <x:v>1</x:v>
      </x:c>
      <x:c r="C5" s="7" t="str">
        <x:v>Endothelial 3</x:v>
      </x:c>
      <x:c r="D5" s="11" t="n">
        <x:v>433</x:v>
      </x:c>
      <x:c r="E5" s="22" t="n">
        <x:v>0.01902460456942</x:v>
      </x:c>
      <x:c r="F5" s="23" t="b">
        <x:v>1</x:v>
      </x:c>
      <x:c r="G5" s="11" t="n">
        <x:v>116</x:v>
      </x:c>
      <x:c r="H5" s="11" t="n">
        <x:v>111</x:v>
      </x:c>
      <x:c r="I5" s="13" t="n">
        <x:v>0.020874572611121</x:v>
      </x:c>
      <x:c r="J5" s="13" t="n">
        <x:v>0.01952163207879</x:v>
      </x:c>
      <x:c r="K5" s="17" t="n">
        <x:v>-0.13529405323311</x:v>
      </x:c>
      <x:c r="L5" s="13" t="n">
        <x:v>0.051724137931034</x:v>
      </x:c>
      <x:c r="M5" s="13" t="n">
        <x:v>0.172413793103448</x:v>
      </x:c>
      <x:c r="N5" s="13" t="n">
        <x:v>0.46551724137931</x:v>
      </x:c>
      <x:c r="O5" s="13" t="n">
        <x:v>0.036036036036036</x:v>
      </x:c>
      <x:c r="P5" s="13" t="n">
        <x:v>0.216216216216216</x:v>
      </x:c>
      <x:c r="Q5" s="13" t="n">
        <x:v>0.666666666666667</x:v>
      </x:c>
      <x:c r="R5" s="15" t="n">
        <x:v>0.983753738339401</x:v>
      </x:c>
      <x:c r="S5" s="17" t="n">
        <x:v>126.69167001594089</x:v>
      </x:c>
      <x:c r="T5" s="17" t="n">
        <x:v>82.86352460519203</x:v>
      </x:c>
      <x:c r="U5" s="23" t="b">
        <x:v>0</x:v>
      </x:c>
    </x:row>
    <x:row r="6" ht="22" customHeight="1">
      <x:c r="A6" s="7" t="str">
        <x:v>DeepSpatial</x:v>
      </x:c>
      <x:c r="B6" s="9" t="n">
        <x:v>1</x:v>
      </x:c>
      <x:c r="C6" s="7" t="str">
        <x:v>Ependymal</x:v>
      </x:c>
      <x:c r="D6" s="11" t="n">
        <x:v>982</x:v>
      </x:c>
      <x:c r="E6" s="22" t="n">
        <x:v>0.043145869947276</x:v>
      </x:c>
      <x:c r="F6" s="23" t="b">
        <x:v>1</x:v>
      </x:c>
      <x:c r="G6" s="11" t="n">
        <x:v>305</x:v>
      </x:c>
      <x:c r="H6" s="11" t="n">
        <x:v>264</x:v>
      </x:c>
      <x:c r="I6" s="13" t="n">
        <x:v>0.054885729710275</x:v>
      </x:c>
      <x:c r="J6" s="13" t="n">
        <x:v>0.046429827646852</x:v>
      </x:c>
      <x:c r="K6" s="17" t="n">
        <x:v>-0.845590206342341</x:v>
      </x:c>
      <x:c r="L6" s="13" t="n">
        <x:v>0.672131147540984</x:v>
      </x:c>
      <x:c r="M6" s="13" t="n">
        <x:v>0.872131147540984</x:v>
      </x:c>
      <x:c r="N6" s="13" t="n">
        <x:v>0.924590163934426</x:v>
      </x:c>
      <x:c r="O6" s="13" t="n">
        <x:v>0.606060606060606</x:v>
      </x:c>
      <x:c r="P6" s="13" t="n">
        <x:v>0.799242424242424</x:v>
      </x:c>
      <x:c r="Q6" s="13" t="n">
        <x:v>0.962121212121212</x:v>
      </x:c>
      <x:c r="R6" s="15" t="n">
        <x:v>0.989362741772273</x:v>
      </x:c>
      <x:c r="S6" s="17" t="n">
        <x:v>29.16925092703289</x:v>
      </x:c>
      <x:c r="T6" s="17" t="n">
        <x:v>29.73352128080201</x:v>
      </x:c>
      <x:c r="U6" s="23" t="b">
        <x:v>0</x:v>
      </x:c>
    </x:row>
    <x:row r="7" ht="22" customHeight="1">
      <x:c r="A7" s="7" t="str">
        <x:v>DeepSpatial</x:v>
      </x:c>
      <x:c r="B7" s="9" t="n">
        <x:v>1</x:v>
      </x:c>
      <x:c r="C7" s="7" t="str">
        <x:v>Excitatory</x:v>
      </x:c>
      <x:c r="D7" s="11" t="n">
        <x:v>4700</x:v>
      </x:c>
      <x:c r="E7" s="22" t="n">
        <x:v>0.206502636203866</x:v>
      </x:c>
      <x:c r="F7" s="23" t="b">
        <x:v>0</x:v>
      </x:c>
      <x:c r="G7" s="11" t="n">
        <x:v>1087</x:v>
      </x:c>
      <x:c r="H7" s="11" t="n">
        <x:v>1189</x:v>
      </x:c>
      <x:c r="I7" s="13" t="n">
        <x:v>0.195609141623178</x:v>
      </x:c>
      <x:c r="J7" s="13" t="n">
        <x:v>0.209110094970102</x:v>
      </x:c>
      <x:c r="K7" s="17" t="n">
        <x:v>1.350095334692403</x:v>
      </x:c>
      <x:c r="L7" s="13" t="n">
        <x:v>0.465501379944802</x:v>
      </x:c>
      <x:c r="M7" s="13" t="n">
        <x:v>0.801287948482061</x:v>
      </x:c>
      <x:c r="N7" s="13" t="n">
        <x:v>0.930082796688132</x:v>
      </x:c>
      <x:c r="O7" s="13" t="n">
        <x:v>0.501261564339781</x:v>
      </x:c>
      <x:c r="P7" s="13" t="n">
        <x:v>0.819175777964676</x:v>
      </x:c>
      <x:c r="Q7" s="13" t="n">
        <x:v>0.952901597981497</x:v>
      </x:c>
      <x:c r="R7" s="15" t="n">
        <x:v>0.977950174381684</x:v>
      </x:c>
      <x:c r="S7" s="17" t="n">
        <x:v>36.89417684152245</x:v>
      </x:c>
      <x:c r="T7" s="17" t="n">
        <x:v>33.49339476143526</x:v>
      </x:c>
      <x:c r="U7" s="23" t="b">
        <x:v>0</x:v>
      </x:c>
    </x:row>
    <x:row r="8" ht="22" customHeight="1">
      <x:c r="A8" s="7" t="str">
        <x:v>DeepSpatial</x:v>
      </x:c>
      <x:c r="B8" s="9" t="n">
        <x:v>1</x:v>
      </x:c>
      <x:c r="C8" s="7" t="str">
        <x:v>Inhibitory</x:v>
      </x:c>
      <x:c r="D8" s="11" t="n">
        <x:v>9839</x:v>
      </x:c>
      <x:c r="E8" s="22" t="n">
        <x:v>0.432293497363796</x:v>
      </x:c>
      <x:c r="F8" s="23" t="b">
        <x:v>0</x:v>
      </x:c>
      <x:c r="G8" s="11" t="n">
        <x:v>2530</x:v>
      </x:c>
      <x:c r="H8" s="11" t="n">
        <x:v>2443</x:v>
      </x:c>
      <x:c r="I8" s="13" t="n">
        <x:v>0.455281626777038</x:v>
      </x:c>
      <x:c r="J8" s="13" t="n">
        <x:v>0.429651776292649</x:v>
      </x:c>
      <x:c r="K8" s="17" t="n">
        <x:v>-2.562985048438937</x:v>
      </x:c>
      <x:c r="L8" s="13" t="n">
        <x:v>0.675098814229249</x:v>
      </x:c>
      <x:c r="M8" s="13" t="n">
        <x:v>0.866403162055336</x:v>
      </x:c>
      <x:c r="N8" s="13" t="n">
        <x:v>0.96205533596838</x:v>
      </x:c>
      <x:c r="O8" s="13" t="n">
        <x:v>0.828898894801474</x:v>
      </x:c>
      <x:c r="P8" s="13" t="n">
        <x:v>0.986082685223086</x:v>
      </x:c>
      <x:c r="Q8" s="13" t="n">
        <x:v>0.999181334424887</x:v>
      </x:c>
      <x:c r="R8" s="15" t="n">
        <x:v>0.975330326774486</x:v>
      </x:c>
      <x:c r="S8" s="17" t="n">
        <x:v>27.03782703679844</x:v>
      </x:c>
      <x:c r="T8" s="17" t="n">
        <x:v>16.2174953167584</x:v>
      </x:c>
      <x:c r="U8" s="23" t="b">
        <x:v>0</x:v>
      </x:c>
    </x:row>
    <x:row r="9" ht="22" customHeight="1">
      <x:c r="A9" s="7" t="str">
        <x:v>DeepSpatial</x:v>
      </x:c>
      <x:c r="B9" s="9" t="n">
        <x:v>1</x:v>
      </x:c>
      <x:c r="C9" s="7" t="str">
        <x:v>Microglia</x:v>
      </x:c>
      <x:c r="D9" s="11" t="n">
        <x:v>486</x:v>
      </x:c>
      <x:c r="E9" s="22" t="n">
        <x:v>0.021353251318102</x:v>
      </x:c>
      <x:c r="F9" s="23" t="b">
        <x:v>1</x:v>
      </x:c>
      <x:c r="G9" s="11" t="n">
        <x:v>108</x:v>
      </x:c>
      <x:c r="H9" s="11" t="n">
        <x:v>118</x:v>
      </x:c>
      <x:c r="I9" s="13" t="n">
        <x:v>0.019434946913802</x:v>
      </x:c>
      <x:c r="J9" s="13" t="n">
        <x:v>0.020752725993669</x:v>
      </x:c>
      <x:c r="K9" s="17" t="n">
        <x:v>0.131777907986625</x:v>
      </x:c>
      <x:c r="L9" s="13" t="n">
        <x:v>0.083333333333333</x:v>
      </x:c>
      <x:c r="M9" s="13" t="n">
        <x:v>0.259259259259259</x:v>
      </x:c>
      <x:c r="N9" s="13" t="n">
        <x:v>0.546296296296296</x:v>
      </x:c>
      <x:c r="O9" s="13" t="n">
        <x:v>0.084745762711864</x:v>
      </x:c>
      <x:c r="P9" s="13" t="n">
        <x:v>0.330508474576271</x:v>
      </x:c>
      <x:c r="Q9" s="13" t="n">
        <x:v>0.627118644067797</x:v>
      </x:c>
      <x:c r="R9" s="15" t="n">
        <x:v>0.969542754464248</x:v>
      </x:c>
      <x:c r="S9" s="17" t="n">
        <x:v>102.13932483812576</x:v>
      </x:c>
      <x:c r="T9" s="17" t="n">
        <x:v>86.03701948487544</x:v>
      </x:c>
      <x:c r="U9" s="23" t="b">
        <x:v>0</x:v>
      </x:c>
    </x:row>
    <x:row r="10" ht="22" customHeight="1">
      <x:c r="A10" s="7" t="str">
        <x:v>DeepSpatial</x:v>
      </x:c>
      <x:c r="B10" s="9" t="n">
        <x:v>1</x:v>
      </x:c>
      <x:c r="C10" s="7" t="str">
        <x:v>OD Immature 1</x:v>
      </x:c>
      <x:c r="D10" s="11" t="n">
        <x:v>829</x:v>
      </x:c>
      <x:c r="E10" s="22" t="n">
        <x:v>0.036423550087873</x:v>
      </x:c>
      <x:c r="F10" s="23" t="b">
        <x:v>1</x:v>
      </x:c>
      <x:c r="G10" s="11" t="n">
        <x:v>183</x:v>
      </x:c>
      <x:c r="H10" s="11" t="n">
        <x:v>185</x:v>
      </x:c>
      <x:c r="I10" s="13" t="n">
        <x:v>0.032931437826165</x:v>
      </x:c>
      <x:c r="J10" s="13" t="n">
        <x:v>0.03253605346465</x:v>
      </x:c>
      <x:c r="K10" s="17" t="n">
        <x:v>-0.039538436151518</x:v>
      </x:c>
      <x:c r="L10" s="13" t="n">
        <x:v>0.103825136612022</x:v>
      </x:c>
      <x:c r="M10" s="13" t="n">
        <x:v>0.306010928961749</x:v>
      </x:c>
      <x:c r="N10" s="13" t="n">
        <x:v>0.73224043715847</x:v>
      </x:c>
      <x:c r="O10" s="13" t="n">
        <x:v>0.156756756756757</x:v>
      </x:c>
      <x:c r="P10" s="13" t="n">
        <x:v>0.437837837837838</x:v>
      </x:c>
      <x:c r="Q10" s="13" t="n">
        <x:v>0.945945945945946</x:v>
      </x:c>
      <x:c r="R10" s="15" t="n">
        <x:v>0.985937047397878</x:v>
      </x:c>
      <x:c r="S10" s="17" t="n">
        <x:v>81.33337838193144</x:v>
      </x:c>
      <x:c r="T10" s="17" t="n">
        <x:v>56.76456770805932</x:v>
      </x:c>
      <x:c r="U10" s="23" t="b">
        <x:v>0</x:v>
      </x:c>
    </x:row>
    <x:row r="11" ht="22" customHeight="1">
      <x:c r="A11" s="7" t="str">
        <x:v>DeepSpatial</x:v>
      </x:c>
      <x:c r="B11" s="9" t="n">
        <x:v>1</x:v>
      </x:c>
      <x:c r="C11" s="7" t="str">
        <x:v>OD Immature 2</x:v>
      </x:c>
      <x:c r="D11" s="11" t="n">
        <x:v>28</x:v>
      </x:c>
      <x:c r="E11" s="22" t="n">
        <x:v>0.001230228471002</x:v>
      </x:c>
      <x:c r="F11" s="23" t="b">
        <x:v>1</x:v>
      </x:c>
      <x:c r="G11" s="11" t="n">
        <x:v>5</x:v>
      </x:c>
      <x:c r="H11" s="11" t="n">
        <x:v>5</x:v>
      </x:c>
      <x:c r="I11" s="13" t="n">
        <x:v>0.000899766060824</x:v>
      </x:c>
      <x:c r="J11" s="13" t="n">
        <x:v>0.000879352796342</x:v>
      </x:c>
      <x:c r="K11" s="17" t="n">
        <x:v>-0.002041326448229</x:v>
      </x:c>
      <x:c r="L11" s="13" t="n">
        <x:v>0</x:v>
      </x:c>
      <x:c r="M11" s="13" t="n">
        <x:v>0.2</x:v>
      </x:c>
      <x:c r="N11" s="13" t="n">
        <x:v>0.2</x:v>
      </x:c>
      <x:c r="O11" s="13" t="n">
        <x:v>0</x:v>
      </x:c>
      <x:c r="P11" s="13" t="n">
        <x:v>0.2</x:v>
      </x:c>
      <x:c r="Q11" s="13" t="n">
        <x:v>0.2</x:v>
      </x:c>
      <x:c r="R11" s="15" t="n">
        <x:v>0.686181030399191</x:v>
      </x:c>
      <x:c r="S11" s="17" t="n">
        <x:v>345.8395885019428</x:v>
      </x:c>
      <x:c r="T11" s="17" t="n">
        <x:v>209.81323870244276</x:v>
      </x:c>
      <x:c r="U11" s="23" t="b">
        <x:v>0</x:v>
      </x:c>
    </x:row>
    <x:row r="12" ht="22" customHeight="1">
      <x:c r="A12" s="7" t="str">
        <x:v>DeepSpatial</x:v>
      </x:c>
      <x:c r="B12" s="9" t="n">
        <x:v>1</x:v>
      </x:c>
      <x:c r="C12" s="7" t="str">
        <x:v>OD Mature 1</x:v>
      </x:c>
      <x:c r="D12" s="11" t="n">
        <x:v>209</x:v>
      </x:c>
      <x:c r="E12" s="22" t="n">
        <x:v>0.009182776801406</x:v>
      </x:c>
      <x:c r="F12" s="23" t="b">
        <x:v>1</x:v>
      </x:c>
      <x:c r="G12" s="11" t="n">
        <x:v>29</x:v>
      </x:c>
      <x:c r="H12" s="11" t="n">
        <x:v>69</x:v>
      </x:c>
      <x:c r="I12" s="13" t="n">
        <x:v>0.00521864315278</x:v>
      </x:c>
      <x:c r="J12" s="13" t="n">
        <x:v>0.012135068589518</x:v>
      </x:c>
      <x:c r="K12" s="17" t="n">
        <x:v>0.691642543673784</x:v>
      </x:c>
      <x:c r="L12" s="13" t="n">
        <x:v>0.068965517241379</x:v>
      </x:c>
      <x:c r="M12" s="13" t="n">
        <x:v>0.068965517241379</x:v>
      </x:c>
      <x:c r="N12" s="13" t="n">
        <x:v>0.241379310344828</x:v>
      </x:c>
      <x:c r="O12" s="13" t="n">
        <x:v>0.043478260869565</x:v>
      </x:c>
      <x:c r="P12" s="13" t="n">
        <x:v>0.130434782608696</x:v>
      </x:c>
      <x:c r="Q12" s="13" t="n">
        <x:v>0.27536231884058</x:v>
      </x:c>
      <x:c r="R12" s="15" t="n">
        <x:v>0.964537281766789</x:v>
      </x:c>
      <x:c r="S12" s="17" t="n">
        <x:v>159.04532709998267</x:v>
      </x:c>
      <x:c r="T12" s="17" t="n">
        <x:v>170.4361718172995</x:v>
      </x:c>
      <x:c r="U12" s="23" t="b">
        <x:v>0</x:v>
      </x:c>
    </x:row>
    <x:row r="13" ht="22" customHeight="1">
      <x:c r="A13" s="7" t="str">
        <x:v>DeepSpatial</x:v>
      </x:c>
      <x:c r="B13" s="9" t="n">
        <x:v>1</x:v>
      </x:c>
      <x:c r="C13" s="7" t="str">
        <x:v>OD Mature 2</x:v>
      </x:c>
      <x:c r="D13" s="11" t="n">
        <x:v>956</x:v>
      </x:c>
      <x:c r="E13" s="22" t="n">
        <x:v>0.042003514938488</x:v>
      </x:c>
      <x:c r="F13" s="23" t="b">
        <x:v>1</x:v>
      </x:c>
      <x:c r="G13" s="11" t="n">
        <x:v>197</x:v>
      </x:c>
      <x:c r="H13" s="11" t="n">
        <x:v>256</x:v>
      </x:c>
      <x:c r="I13" s="13" t="n">
        <x:v>0.035450782796473</x:v>
      </x:c>
      <x:c r="J13" s="13" t="n">
        <x:v>0.045022863172705</x:v>
      </x:c>
      <x:c r="K13" s="17" t="n">
        <x:v>0.957208037623197</x:v>
      </x:c>
      <x:c r="L13" s="13" t="n">
        <x:v>0.101522842639594</x:v>
      </x:c>
      <x:c r="M13" s="13" t="n">
        <x:v>0.350253807106599</x:v>
      </x:c>
      <x:c r="N13" s="13" t="n">
        <x:v>0.730964467005076</x:v>
      </x:c>
      <x:c r="O13" s="13" t="n">
        <x:v>0.08203125</x:v>
      </x:c>
      <x:c r="P13" s="13" t="n">
        <x:v>0.25</x:v>
      </x:c>
      <x:c r="Q13" s="13" t="n">
        <x:v>0.46875</x:v>
      </x:c>
      <x:c r="R13" s="15" t="n">
        <x:v>0.992486645483556</x:v>
      </x:c>
      <x:c r="S13" s="17" t="n">
        <x:v>78.26636364381672</x:v>
      </x:c>
      <x:c r="T13" s="17" t="n">
        <x:v>109.15476990982444</x:v>
      </x:c>
      <x:c r="U13" s="23" t="b">
        <x:v>0</x:v>
      </x:c>
    </x:row>
    <x:row r="14" ht="22" customHeight="1">
      <x:c r="A14" s="7" t="str">
        <x:v>DeepSpatial</x:v>
      </x:c>
      <x:c r="B14" s="9" t="n">
        <x:v>1</x:v>
      </x:c>
      <x:c r="C14" s="7" t="str">
        <x:v>OD Mature 3</x:v>
      </x:c>
      <x:c r="D14" s="11" t="n">
        <x:v>11</x:v>
      </x:c>
      <x:c r="E14" s="22" t="n">
        <x:v>0.000483304042179</x:v>
      </x:c>
      <x:c r="F14" s="23" t="b">
        <x:v>1</x:v>
      </x:c>
      <x:c r="G14" s="11" t="n">
        <x:v>3</x:v>
      </x:c>
      <x:c r="H14" s="11" t="n">
        <x:v>2</x:v>
      </x:c>
      <x:c r="I14" s="13" t="n">
        <x:v>0.000539859636494</x:v>
      </x:c>
      <x:c r="J14" s="13" t="n">
        <x:v>0.000351741118537</x:v>
      </x:c>
      <x:c r="K14" s="17" t="n">
        <x:v>-0.018811851795775</x:v>
      </x:c>
      <x:c r="L14" s="13" t="n">
        <x:v>0</x:v>
      </x:c>
      <x:c r="M14" s="13" t="n">
        <x:v>0</x:v>
      </x:c>
      <x:c r="N14" s="13" t="n">
        <x:v>0</x:v>
      </x:c>
      <x:c r="O14" s="13" t="n">
        <x:v>0</x:v>
      </x:c>
      <x:c r="P14" s="13" t="n">
        <x:v>0</x:v>
      </x:c>
      <x:c r="Q14" s="13" t="n">
        <x:v>0</x:v>
      </x:c>
      <x:c r="R14" s="15" t="n">
        <x:v>0.811935342735015</x:v>
      </x:c>
      <x:c r="S14" s="17" t="n">
        <x:v>972.8622431105664</x:v>
      </x:c>
      <x:c r="T14" s="17" t="n">
        <x:v>756.6485983689796</x:v>
      </x:c>
      <x:c r="U14" s="23" t="b">
        <x:v>0</x:v>
      </x:c>
    </x:row>
    <x:row r="15" ht="22" customHeight="1">
      <x:c r="A15" s="7" t="str">
        <x:v>DeepSpatial</x:v>
      </x:c>
      <x:c r="B15" s="9" t="n">
        <x:v>1</x:v>
      </x:c>
      <x:c r="C15" s="7" t="str">
        <x:v>OD Mature 4</x:v>
      </x:c>
      <x:c r="D15" s="11" t="n">
        <x:v>36</x:v>
      </x:c>
      <x:c r="E15" s="22" t="n">
        <x:v>0.001581722319859</x:v>
      </x:c>
      <x:c r="F15" s="23" t="b">
        <x:v>1</x:v>
      </x:c>
      <x:c r="G15" s="11" t="n">
        <x:v>11</x:v>
      </x:c>
      <x:c r="H15" s="11" t="n">
        <x:v>10</x:v>
      </x:c>
      <x:c r="I15" s="13" t="n">
        <x:v>0.001979485333813</x:v>
      </x:c>
      <x:c r="J15" s="13" t="n">
        <x:v>0.001758705592684</x:v>
      </x:c>
      <x:c r="K15" s="17" t="n">
        <x:v>-0.022077974112942</x:v>
      </x:c>
      <x:c r="L15" s="13" t="n">
        <x:v>0</x:v>
      </x:c>
      <x:c r="M15" s="13" t="n">
        <x:v>0</x:v>
      </x:c>
      <x:c r="N15" s="13" t="n">
        <x:v>0.090909090909091</x:v>
      </x:c>
      <x:c r="O15" s="13" t="n">
        <x:v>0</x:v>
      </x:c>
      <x:c r="P15" s="13" t="n">
        <x:v>0</x:v>
      </x:c>
      <x:c r="Q15" s="13" t="n">
        <x:v>0.1</x:v>
      </x:c>
      <x:c r="R15" s="15" t="n">
        <x:v>0.897970820909825</x:v>
      </x:c>
      <x:c r="S15" s="17" t="n">
        <x:v>444.1787561443557</x:v>
      </x:c>
      <x:c r="T15" s="17" t="n">
        <x:v>408.70611812970594</x:v>
      </x:c>
      <x:c r="U15" s="23" t="b">
        <x:v>0</x:v>
      </x:c>
    </x:row>
    <x:row r="16" ht="22" customHeight="1">
      <x:c r="A16" s="7" t="str">
        <x:v>DeepSpatial</x:v>
      </x:c>
      <x:c r="B16" s="9" t="n">
        <x:v>1</x:v>
      </x:c>
      <x:c r="C16" s="7" t="str">
        <x:v>Pericytes</x:v>
      </x:c>
      <x:c r="D16" s="11" t="n">
        <x:v>167</x:v>
      </x:c>
      <x:c r="E16" s="22" t="n">
        <x:v>0.007337434094903</x:v>
      </x:c>
      <x:c r="F16" s="23" t="b">
        <x:v>1</x:v>
      </x:c>
      <x:c r="G16" s="11" t="n">
        <x:v>37</x:v>
      </x:c>
      <x:c r="H16" s="11" t="n">
        <x:v>32</x:v>
      </x:c>
      <x:c r="I16" s="13" t="n">
        <x:v>0.006658268850099</x:v>
      </x:c>
      <x:c r="J16" s="13" t="n">
        <x:v>0.005627857896588</x:v>
      </x:c>
      <x:c r="K16" s="17" t="n">
        <x:v>-0.103041095351086</x:v>
      </x:c>
      <x:c r="L16" s="13" t="n">
        <x:v>0.081081081081081</x:v>
      </x:c>
      <x:c r="M16" s="13" t="n">
        <x:v>0.081081081081081</x:v>
      </x:c>
      <x:c r="N16" s="13" t="n">
        <x:v>0.351351351351351</x:v>
      </x:c>
      <x:c r="O16" s="13" t="n">
        <x:v>0.0625</x:v>
      </x:c>
      <x:c r="P16" s="13" t="n">
        <x:v>0.0625</x:v>
      </x:c>
      <x:c r="Q16" s="13" t="n">
        <x:v>0.25</x:v>
      </x:c>
      <x:c r="R16" s="15" t="n">
        <x:v>0.969918528357478</x:v>
      </x:c>
      <x:c r="S16" s="17" t="n">
        <x:v>161.64537544965935</x:v>
      </x:c>
      <x:c r="T16" s="17" t="n">
        <x:v>157.54313802917238</x:v>
      </x:c>
      <x:c r="U16" s="23" t="b">
        <x:v>0</x:v>
      </x:c>
    </x:row>
    <x:row r="17" ht="22" customHeight="1">
      <x:c r="A17" s="7" t="str">
        <x:v>DeepSpatial</x:v>
      </x:c>
      <x:c r="B17" s="9" t="n">
        <x:v>2</x:v>
      </x:c>
      <x:c r="C17" s="7" t="str">
        <x:v>Astrocyte</x:v>
      </x:c>
      <x:c r="D17" s="11" t="n">
        <x:v>2738</x:v>
      </x:c>
      <x:c r="E17" s="22" t="n">
        <x:v>0.122281273726051</x:v>
      </x:c>
      <x:c r="F17" s="23" t="b">
        <x:v>0</x:v>
      </x:c>
      <x:c r="G17" s="11" t="n">
        <x:v>668</x:v>
      </x:c>
      <x:c r="H17" s="11" t="n">
        <x:v>677</x:v>
      </x:c>
      <x:c r="I17" s="13" t="n">
        <x:v>0.112723590955113</x:v>
      </x:c>
      <x:c r="J17" s="13" t="n">
        <x:v>0.120248667850799</x:v>
      </x:c>
      <x:c r="K17" s="17" t="n">
        <x:v>0.752507689568624</x:v>
      </x:c>
      <x:c r="L17" s="13" t="n">
        <x:v>0.276946107784431</x:v>
      </x:c>
      <x:c r="M17" s="13" t="n">
        <x:v>0.561377245508982</x:v>
      </x:c>
      <x:c r="N17" s="13" t="n">
        <x:v>0.763473053892216</x:v>
      </x:c>
      <x:c r="O17" s="13" t="n">
        <x:v>0.342688330871492</x:v>
      </x:c>
      <x:c r="P17" s="13" t="n">
        <x:v>0.812407680945347</x:v>
      </x:c>
      <x:c r="Q17" s="13" t="n">
        <x:v>0.998522895125554</x:v>
      </x:c>
      <x:c r="R17" s="15" t="n">
        <x:v>0.996029589744871</x:v>
      </x:c>
      <x:c r="S17" s="17" t="n">
        <x:v>68.39405873838727</x:v>
      </x:c>
      <x:c r="T17" s="17" t="n">
        <x:v>34.63464681347294</x:v>
      </x:c>
      <x:c r="U17" s="23" t="b">
        <x:v>0</x:v>
      </x:c>
    </x:row>
    <x:row r="18" ht="22" customHeight="1">
      <x:c r="A18" s="7" t="str">
        <x:v>DeepSpatial</x:v>
      </x:c>
      <x:c r="B18" s="9" t="n">
        <x:v>2</x:v>
      </x:c>
      <x:c r="C18" s="7" t="str">
        <x:v>Endothelial 1</x:v>
      </x:c>
      <x:c r="D18" s="11" t="n">
        <x:v>1190</x:v>
      </x:c>
      <x:c r="E18" s="22" t="n">
        <x:v>0.053146353445581</x:v>
      </x:c>
      <x:c r="F18" s="23" t="b">
        <x:v>0</x:v>
      </x:c>
      <x:c r="G18" s="11" t="n">
        <x:v>290</x:v>
      </x:c>
      <x:c r="H18" s="11" t="n">
        <x:v>272</x:v>
      </x:c>
      <x:c r="I18" s="13" t="n">
        <x:v>0.048936888288896</x:v>
      </x:c>
      <x:c r="J18" s="13" t="n">
        <x:v>0.048312611012433</x:v>
      </x:c>
      <x:c r="K18" s="17" t="n">
        <x:v>-0.0624277276463</x:v>
      </x:c>
      <x:c r="L18" s="13" t="n">
        <x:v>0.110344827586207</x:v>
      </x:c>
      <x:c r="M18" s="13" t="n">
        <x:v>0.296551724137931</x:v>
      </x:c>
      <x:c r="N18" s="13" t="n">
        <x:v>0.617241379310345</x:v>
      </x:c>
      <x:c r="O18" s="13" t="n">
        <x:v>0.150735294117647</x:v>
      </x:c>
      <x:c r="P18" s="13" t="n">
        <x:v>0.408088235294118</x:v>
      </x:c>
      <x:c r="Q18" s="13" t="n">
        <x:v>0.893382352941176</x:v>
      </x:c>
      <x:c r="R18" s="15" t="n">
        <x:v>0.995816984286862</x:v>
      </x:c>
      <x:c r="S18" s="17" t="n">
        <x:v>101.21325071095757</x:v>
      </x:c>
      <x:c r="T18" s="17" t="n">
        <x:v>59.583921208691024</x:v>
      </x:c>
      <x:c r="U18" s="23" t="b">
        <x:v>0</x:v>
      </x:c>
    </x:row>
    <x:row r="19" ht="22" customHeight="1">
      <x:c r="A19" s="7" t="str">
        <x:v>DeepSpatial</x:v>
      </x:c>
      <x:c r="B19" s="9" t="n">
        <x:v>2</x:v>
      </x:c>
      <x:c r="C19" s="7" t="str">
        <x:v>Endothelial 2</x:v>
      </x:c>
      <x:c r="D19" s="11" t="n">
        <x:v>127</x:v>
      </x:c>
      <x:c r="E19" s="22" t="n">
        <x:v>0.005671921754276</x:v>
      </x:c>
      <x:c r="F19" s="23" t="b">
        <x:v>1</x:v>
      </x:c>
      <x:c r="G19" s="11" t="n">
        <x:v>17</x:v>
      </x:c>
      <x:c r="H19" s="11" t="n">
        <x:v>25</x:v>
      </x:c>
      <x:c r="I19" s="13" t="n">
        <x:v>0.002868714141073</x:v>
      </x:c>
      <x:c r="J19" s="13" t="n">
        <x:v>0.004440497335702</x:v>
      </x:c>
      <x:c r="K19" s="17" t="n">
        <x:v>0.157178319462836</x:v>
      </x:c>
      <x:c r="L19" s="13" t="n">
        <x:v>0</x:v>
      </x:c>
      <x:c r="M19" s="13" t="n">
        <x:v>0.176470588235294</x:v>
      </x:c>
      <x:c r="N19" s="13" t="n">
        <x:v>0.352941176470588</x:v>
      </x:c>
      <x:c r="O19" s="13" t="n">
        <x:v>0</x:v>
      </x:c>
      <x:c r="P19" s="13" t="n">
        <x:v>0.16</x:v>
      </x:c>
      <x:c r="Q19" s="13" t="n">
        <x:v>0.28</x:v>
      </x:c>
      <x:c r="R19" s="15" t="n">
        <x:v>0.918117588158575</x:v>
      </x:c>
      <x:c r="S19" s="17" t="n">
        <x:v>257.59016480750336</x:v>
      </x:c>
      <x:c r="T19" s="17" t="n">
        <x:v>220.15388202953852</x:v>
      </x:c>
      <x:c r="U19" s="23" t="b">
        <x:v>0</x:v>
      </x:c>
    </x:row>
    <x:row r="20" ht="22" customHeight="1">
      <x:c r="A20" s="7" t="str">
        <x:v>DeepSpatial</x:v>
      </x:c>
      <x:c r="B20" s="9" t="n">
        <x:v>2</x:v>
      </x:c>
      <x:c r="C20" s="7" t="str">
        <x:v>Endothelial 3</x:v>
      </x:c>
      <x:c r="D20" s="11" t="n">
        <x:v>442</x:v>
      </x:c>
      <x:c r="E20" s="22" t="n">
        <x:v>0.01974007413693</x:v>
      </x:c>
      <x:c r="F20" s="23" t="b">
        <x:v>1</x:v>
      </x:c>
      <x:c r="G20" s="11" t="n">
        <x:v>107</x:v>
      </x:c>
      <x:c r="H20" s="11" t="n">
        <x:v>91</x:v>
      </x:c>
      <x:c r="I20" s="13" t="n">
        <x:v>0.018056024299696</x:v>
      </x:c>
      <x:c r="J20" s="13" t="n">
        <x:v>0.016163410301954</x:v>
      </x:c>
      <x:c r="K20" s="17" t="n">
        <x:v>-0.189261399774244</x:v>
      </x:c>
      <x:c r="L20" s="13" t="n">
        <x:v>0.009345794392523</x:v>
      </x:c>
      <x:c r="M20" s="13" t="n">
        <x:v>0.158878504672897</x:v>
      </x:c>
      <x:c r="N20" s="13" t="n">
        <x:v>0.439252336448598</x:v>
      </x:c>
      <x:c r="O20" s="13" t="n">
        <x:v>0.010989010989011</x:v>
      </x:c>
      <x:c r="P20" s="13" t="n">
        <x:v>0.21978021978022</x:v>
      </x:c>
      <x:c r="Q20" s="13" t="n">
        <x:v>0.538461538461538</x:v>
      </x:c>
      <x:c r="R20" s="15" t="n">
        <x:v>0.979573087731848</x:v>
      </x:c>
      <x:c r="S20" s="17" t="n">
        <x:v>142.33918697477318</x:v>
      </x:c>
      <x:c r="T20" s="17" t="n">
        <x:v>95.55569568694897</x:v>
      </x:c>
      <x:c r="U20" s="23" t="b">
        <x:v>0</x:v>
      </x:c>
    </x:row>
    <x:row r="21" ht="22" customHeight="1">
      <x:c r="A21" s="7" t="str">
        <x:v>DeepSpatial</x:v>
      </x:c>
      <x:c r="B21" s="9" t="n">
        <x:v>2</x:v>
      </x:c>
      <x:c r="C21" s="7" t="str">
        <x:v>Ependymal</x:v>
      </x:c>
      <x:c r="D21" s="11" t="n">
        <x:v>1014</x:v>
      </x:c>
      <x:c r="E21" s="22" t="n">
        <x:v>0.045286052431781</x:v>
      </x:c>
      <x:c r="F21" s="23" t="b">
        <x:v>1</x:v>
      </x:c>
      <x:c r="G21" s="11" t="n">
        <x:v>273</x:v>
      </x:c>
      <x:c r="H21" s="11" t="n">
        <x:v>228</x:v>
      </x:c>
      <x:c r="I21" s="13" t="n">
        <x:v>0.046068174147823</x:v>
      </x:c>
      <x:c r="J21" s="13" t="n">
        <x:v>0.040497335701598</x:v>
      </x:c>
      <x:c r="K21" s="17" t="n">
        <x:v>-0.557083844622457</x:v>
      </x:c>
      <x:c r="L21" s="13" t="n">
        <x:v>0.725274725274725</x:v>
      </x:c>
      <x:c r="M21" s="13" t="n">
        <x:v>0.970695970695971</x:v>
      </x:c>
      <x:c r="N21" s="13" t="n">
        <x:v>0.992673992673993</x:v>
      </x:c>
      <x:c r="O21" s="13" t="n">
        <x:v>0.68859649122807</x:v>
      </x:c>
      <x:c r="P21" s="13" t="n">
        <x:v>0.925438596491228</x:v>
      </x:c>
      <x:c r="Q21" s="13" t="n">
        <x:v>1</x:v>
      </x:c>
      <x:c r="R21" s="15" t="n">
        <x:v>0.995281324693788</x:v>
      </x:c>
      <x:c r="S21" s="17" t="n">
        <x:v>19.30015113880325</x:v>
      </x:c>
      <x:c r="T21" s="17" t="n">
        <x:v>21.26661628399947</x:v>
      </x:c>
      <x:c r="U21" s="23" t="b">
        <x:v>0</x:v>
      </x:c>
    </x:row>
    <x:row r="22" ht="22" customHeight="1">
      <x:c r="A22" s="7" t="str">
        <x:v>DeepSpatial</x:v>
      </x:c>
      <x:c r="B22" s="9" t="n">
        <x:v>2</x:v>
      </x:c>
      <x:c r="C22" s="7" t="str">
        <x:v>Excitatory</x:v>
      </x:c>
      <x:c r="D22" s="11" t="n">
        <x:v>4575</x:v>
      </x:c>
      <x:c r="E22" s="22" t="n">
        <x:v>0.20432316555759</x:v>
      </x:c>
      <x:c r="F22" s="23" t="b">
        <x:v>0</x:v>
      </x:c>
      <x:c r="G22" s="11" t="n">
        <x:v>1212</x:v>
      </x:c>
      <x:c r="H22" s="11" t="n">
        <x:v>1136</x:v>
      </x:c>
      <x:c r="I22" s="13" t="n">
        <x:v>0.204522443469457</x:v>
      </x:c>
      <x:c r="J22" s="13" t="n">
        <x:v>0.201776198934281</x:v>
      </x:c>
      <x:c r="K22" s="17" t="n">
        <x:v>-0.2746244535176</x:v>
      </x:c>
      <x:c r="L22" s="13" t="n">
        <x:v>0.417491749174918</x:v>
      </x:c>
      <x:c r="M22" s="13" t="n">
        <x:v>0.74009900990099</x:v>
      </x:c>
      <x:c r="N22" s="13" t="n">
        <x:v>0.900990099009901</x:v>
      </x:c>
      <x:c r="O22" s="13" t="n">
        <x:v>0.533450704225352</x:v>
      </x:c>
      <x:c r="P22" s="13" t="n">
        <x:v>0.903169014084507</x:v>
      </x:c>
      <x:c r="Q22" s="13" t="n">
        <x:v>1</x:v>
      </x:c>
      <x:c r="R22" s="15" t="n">
        <x:v>0.99518689590032</x:v>
      </x:c>
      <x:c r="S22" s="17" t="n">
        <x:v>45.2192334805458</x:v>
      </x:c>
      <x:c r="T22" s="17" t="n">
        <x:v>27.58620827131384</x:v>
      </x:c>
      <x:c r="U22" s="23" t="b">
        <x:v>0</x:v>
      </x:c>
    </x:row>
    <x:row r="23" ht="22" customHeight="1">
      <x:c r="A23" s="7" t="str">
        <x:v>DeepSpatial</x:v>
      </x:c>
      <x:c r="B23" s="9" t="n">
        <x:v>2</x:v>
      </x:c>
      <x:c r="C23" s="7" t="str">
        <x:v>Inhibitory</x:v>
      </x:c>
      <x:c r="D23" s="11" t="n">
        <x:v>9639</x:v>
      </x:c>
      <x:c r="E23" s="22" t="n">
        <x:v>0.430485462909205</x:v>
      </x:c>
      <x:c r="F23" s="23" t="b">
        <x:v>0</x:v>
      </x:c>
      <x:c r="G23" s="11" t="n">
        <x:v>2730</x:v>
      </x:c>
      <x:c r="H23" s="11" t="n">
        <x:v>2569</x:v>
      </x:c>
      <x:c r="I23" s="13" t="n">
        <x:v>0.460681741478232</x:v>
      </x:c>
      <x:c r="J23" s="13" t="n">
        <x:v>0.456305506216696</x:v>
      </x:c>
      <x:c r="K23" s="17" t="n">
        <x:v>-0.43762352615353</x:v>
      </x:c>
      <x:c r="L23" s="13" t="n">
        <x:v>0.64945054945055</x:v>
      </x:c>
      <x:c r="M23" s="13" t="n">
        <x:v>0.856043956043956</x:v>
      </x:c>
      <x:c r="N23" s="13" t="n">
        <x:v>0.941758241758242</x:v>
      </x:c>
      <x:c r="O23" s="13" t="n">
        <x:v>0.869209809264305</x:v>
      </x:c>
      <x:c r="P23" s="13" t="n">
        <x:v>0.987933047878552</x:v>
      </x:c>
      <x:c r="Q23" s="13" t="n">
        <x:v>0.99766446087972</x:v>
      </x:c>
      <x:c r="R23" s="15" t="n">
        <x:v>0.996607009772954</x:v>
      </x:c>
      <x:c r="S23" s="17" t="n">
        <x:v>29.76961700828693</x:v>
      </x:c>
      <x:c r="T23" s="17" t="n">
        <x:v>15.733858911679668</x:v>
      </x:c>
      <x:c r="U23" s="23" t="b">
        <x:v>0</x:v>
      </x:c>
    </x:row>
    <x:row r="24" ht="22" customHeight="1">
      <x:c r="A24" s="7" t="str">
        <x:v>DeepSpatial</x:v>
      </x:c>
      <x:c r="B24" s="9" t="n">
        <x:v>2</x:v>
      </x:c>
      <x:c r="C24" s="7" t="str">
        <x:v>Microglia</x:v>
      </x:c>
      <x:c r="D24" s="11" t="n">
        <x:v>454</x:v>
      </x:c>
      <x:c r="E24" s="22" t="n">
        <x:v>0.020276003751507</x:v>
      </x:c>
      <x:c r="F24" s="23" t="b">
        <x:v>1</x:v>
      </x:c>
      <x:c r="G24" s="11" t="n">
        <x:v>140</x:v>
      </x:c>
      <x:c r="H24" s="11" t="n">
        <x:v>119</x:v>
      </x:c>
      <x:c r="I24" s="13" t="n">
        <x:v>0.023624704691191</x:v>
      </x:c>
      <x:c r="J24" s="13" t="n">
        <x:v>0.02113676731794</x:v>
      </x:c>
      <x:c r="K24" s="17" t="n">
        <x:v>-0.248793737325175</x:v>
      </x:c>
      <x:c r="L24" s="13" t="n">
        <x:v>0.064285714285714</x:v>
      </x:c>
      <x:c r="M24" s="13" t="n">
        <x:v>0.192857142857143</x:v>
      </x:c>
      <x:c r="N24" s="13" t="n">
        <x:v>0.521428571428571</x:v>
      </x:c>
      <x:c r="O24" s="13" t="n">
        <x:v>0.100840336134454</x:v>
      </x:c>
      <x:c r="P24" s="13" t="n">
        <x:v>0.327731092436975</x:v>
      </x:c>
      <x:c r="Q24" s="13" t="n">
        <x:v>0.823529411764706</x:v>
      </x:c>
      <x:c r="R24" s="15" t="n">
        <x:v>0.980209073579565</x:v>
      </x:c>
      <x:c r="S24" s="17" t="n">
        <x:v>112.68192080431469</x:v>
      </x:c>
      <x:c r="T24" s="17" t="n">
        <x:v>68.66378776710522</x:v>
      </x:c>
      <x:c r="U24" s="23" t="b">
        <x:v>0</x:v>
      </x:c>
    </x:row>
    <x:row r="25" ht="22" customHeight="1">
      <x:c r="A25" s="7" t="str">
        <x:v>DeepSpatial</x:v>
      </x:c>
      <x:c r="B25" s="9" t="n">
        <x:v>2</x:v>
      </x:c>
      <x:c r="C25" s="7" t="str">
        <x:v>OD Immature 1</x:v>
      </x:c>
      <x:c r="D25" s="11" t="n">
        <x:v>826</x:v>
      </x:c>
      <x:c r="E25" s="22" t="n">
        <x:v>0.036889821803403</x:v>
      </x:c>
      <x:c r="F25" s="23" t="b">
        <x:v>1</x:v>
      </x:c>
      <x:c r="G25" s="11" t="n">
        <x:v>186</x:v>
      </x:c>
      <x:c r="H25" s="11" t="n">
        <x:v>208</x:v>
      </x:c>
      <x:c r="I25" s="13" t="n">
        <x:v>0.031387107661154</x:v>
      </x:c>
      <x:c r="J25" s="13" t="n">
        <x:v>0.036944937833037</x:v>
      </x:c>
      <x:c r="K25" s="17" t="n">
        <x:v>0.555783017188307</x:v>
      </x:c>
      <x:c r="L25" s="13" t="n">
        <x:v>0.091397849462366</x:v>
      </x:c>
      <x:c r="M25" s="13" t="n">
        <x:v>0.349462365591398</x:v>
      </x:c>
      <x:c r="N25" s="13" t="n">
        <x:v>0.693548387096774</x:v>
      </x:c>
      <x:c r="O25" s="13" t="n">
        <x:v>0.081730769230769</x:v>
      </x:c>
      <x:c r="P25" s="13" t="n">
        <x:v>0.384615384615385</x:v>
      </x:c>
      <x:c r="Q25" s="13" t="n">
        <x:v>0.942307692307692</x:v>
      </x:c>
      <x:c r="R25" s="15" t="n">
        <x:v>0.992275961087661</x:v>
      </x:c>
      <x:c r="S25" s="17" t="n">
        <x:v>85.71196197152675</x:v>
      </x:c>
      <x:c r="T25" s="17" t="n">
        <x:v>60.924025600617895</x:v>
      </x:c>
      <x:c r="U25" s="23" t="b">
        <x:v>0</x:v>
      </x:c>
    </x:row>
    <x:row r="26" ht="22" customHeight="1">
      <x:c r="A26" s="7" t="str">
        <x:v>DeepSpatial</x:v>
      </x:c>
      <x:c r="B26" s="9" t="n">
        <x:v>2</x:v>
      </x:c>
      <x:c r="C26" s="7" t="str">
        <x:v>OD Immature 2</x:v>
      </x:c>
      <x:c r="D26" s="11" t="n">
        <x:v>28</x:v>
      </x:c>
      <x:c r="E26" s="22" t="n">
        <x:v>0.001250502434014</x:v>
      </x:c>
      <x:c r="F26" s="23" t="b">
        <x:v>1</x:v>
      </x:c>
      <x:c r="G26" s="11" t="n">
        <x:v>5</x:v>
      </x:c>
      <x:c r="H26" s="11" t="n">
        <x:v>4</x:v>
      </x:c>
      <x:c r="I26" s="13" t="n">
        <x:v>0.000843739453257</x:v>
      </x:c>
      <x:c r="J26" s="13" t="n">
        <x:v>0.000710479573712</x:v>
      </x:c>
      <x:c r="K26" s="17" t="n">
        <x:v>-0.013325987954458</x:v>
      </x:c>
      <x:c r="L26" s="13" t="n">
        <x:v>0</x:v>
      </x:c>
      <x:c r="M26" s="13" t="n">
        <x:v>0</x:v>
      </x:c>
      <x:c r="N26" s="13" t="n">
        <x:v>0.2</x:v>
      </x:c>
      <x:c r="O26" s="13" t="n">
        <x:v>0</x:v>
      </x:c>
      <x:c r="P26" s="13" t="n">
        <x:v>0</x:v>
      </x:c>
      <x:c r="Q26" s="13" t="n">
        <x:v>0.25</x:v>
      </x:c>
      <x:c r="R26" s="15" t="n">
        <x:v>0.71020163892592</x:v>
      </x:c>
      <x:c r="S26" s="17" t="n">
        <x:v>318.64978110929064</x:v>
      </x:c>
      <x:c r="T26" s="17" t="n">
        <x:v>496.6968999881003</x:v>
      </x:c>
      <x:c r="U26" s="23" t="b">
        <x:v>0</x:v>
      </x:c>
    </x:row>
    <x:row r="27" ht="22" customHeight="1">
      <x:c r="A27" s="7" t="str">
        <x:v>DeepSpatial</x:v>
      </x:c>
      <x:c r="B27" s="9" t="n">
        <x:v>2</x:v>
      </x:c>
      <x:c r="C27" s="7" t="str">
        <x:v>OD Mature 1</x:v>
      </x:c>
      <x:c r="D27" s="11" t="n">
        <x:v>195</x:v>
      </x:c>
      <x:c r="E27" s="22" t="n">
        <x:v>0.008708856236881</x:v>
      </x:c>
      <x:c r="F27" s="23" t="b">
        <x:v>1</x:v>
      </x:c>
      <x:c r="G27" s="11" t="n">
        <x:v>43</x:v>
      </x:c>
      <x:c r="H27" s="11" t="n">
        <x:v>36</x:v>
      </x:c>
      <x:c r="I27" s="13" t="n">
        <x:v>0.007256159298009</x:v>
      </x:c>
      <x:c r="J27" s="13" t="n">
        <x:v>0.00639431616341</x:v>
      </x:c>
      <x:c r="K27" s="17" t="n">
        <x:v>-0.086184313459847</x:v>
      </x:c>
      <x:c r="L27" s="13" t="n">
        <x:v>0.023255813953488</x:v>
      </x:c>
      <x:c r="M27" s="13" t="n">
        <x:v>0.023255813953488</x:v>
      </x:c>
      <x:c r="N27" s="13" t="n">
        <x:v>0.325581395348837</x:v>
      </x:c>
      <x:c r="O27" s="13" t="n">
        <x:v>0.027777777777778</x:v>
      </x:c>
      <x:c r="P27" s="13" t="n">
        <x:v>0.027777777777778</x:v>
      </x:c>
      <x:c r="Q27" s="13" t="n">
        <x:v>0.388888888888889</x:v>
      </x:c>
      <x:c r="R27" s="15" t="n">
        <x:v>0.972183038590285</x:v>
      </x:c>
      <x:c r="S27" s="17" t="n">
        <x:v>169.54214209302106</x:v>
      </x:c>
      <x:c r="T27" s="17" t="n">
        <x:v>166.5128871951537</x:v>
      </x:c>
      <x:c r="U27" s="23" t="b">
        <x:v>0</x:v>
      </x:c>
    </x:row>
    <x:row r="28" ht="22" customHeight="1">
      <x:c r="A28" s="7" t="str">
        <x:v>DeepSpatial</x:v>
      </x:c>
      <x:c r="B28" s="9" t="n">
        <x:v>2</x:v>
      </x:c>
      <x:c r="C28" s="7" t="str">
        <x:v>OD Mature 2</x:v>
      </x:c>
      <x:c r="D28" s="11" t="n">
        <x:v>936</x:v>
      </x:c>
      <x:c r="E28" s="22" t="n">
        <x:v>0.041802509937028</x:v>
      </x:c>
      <x:c r="F28" s="23" t="b">
        <x:v>1</x:v>
      </x:c>
      <x:c r="G28" s="11" t="n">
        <x:v>217</x:v>
      </x:c>
      <x:c r="H28" s="11" t="n">
        <x:v>211</x:v>
      </x:c>
      <x:c r="I28" s="13" t="n">
        <x:v>0.036618292271347</x:v>
      </x:c>
      <x:c r="J28" s="13" t="n">
        <x:v>0.037477797513321</x:v>
      </x:c>
      <x:c r="K28" s="17" t="n">
        <x:v>0.085950524197488</x:v>
      </x:c>
      <x:c r="L28" s="13" t="n">
        <x:v>0.142857142857143</x:v>
      </x:c>
      <x:c r="M28" s="13" t="n">
        <x:v>0.382488479262673</x:v>
      </x:c>
      <x:c r="N28" s="13" t="n">
        <x:v>0.654377880184332</x:v>
      </x:c>
      <x:c r="O28" s="13" t="n">
        <x:v>0.170616113744076</x:v>
      </x:c>
      <x:c r="P28" s="13" t="n">
        <x:v>0.308056872037915</x:v>
      </x:c>
      <x:c r="Q28" s="13" t="n">
        <x:v>0.587677725118483</x:v>
      </x:c>
      <x:c r="R28" s="15" t="n">
        <x:v>0.996264203344278</x:v>
      </x:c>
      <x:c r="S28" s="17" t="n">
        <x:v>85.05794703366972</x:v>
      </x:c>
      <x:c r="T28" s="17" t="n">
        <x:v>96.7093661617578</x:v>
      </x:c>
      <x:c r="U28" s="23" t="b">
        <x:v>0</x:v>
      </x:c>
    </x:row>
    <x:row r="29" ht="22" customHeight="1">
      <x:c r="A29" s="7" t="str">
        <x:v>DeepSpatial</x:v>
      </x:c>
      <x:c r="B29" s="9" t="n">
        <x:v>2</x:v>
      </x:c>
      <x:c r="C29" s="7" t="str">
        <x:v>OD Mature 3</x:v>
      </x:c>
      <x:c r="D29" s="11" t="n">
        <x:v>12</x:v>
      </x:c>
      <x:c r="E29" s="22" t="n">
        <x:v>0.000535929614577</x:v>
      </x:c>
      <x:c r="F29" s="23" t="b">
        <x:v>1</x:v>
      </x:c>
      <x:c r="G29" s="11" t="n">
        <x:v>2</x:v>
      </x:c>
      <x:c r="H29" s="11" t="n">
        <x:v>4</x:v>
      </x:c>
      <x:c r="I29" s="13" t="n">
        <x:v>0.000337495781303</x:v>
      </x:c>
      <x:c r="J29" s="13" t="n">
        <x:v>0.000710479573712</x:v>
      </x:c>
      <x:c r="K29" s="17" t="n">
        <x:v>0.037298379240952</x:v>
      </x:c>
      <x:c r="L29" s="13" t="n">
        <x:v>0</x:v>
      </x:c>
      <x:c r="M29" s="13" t="n">
        <x:v>0</x:v>
      </x:c>
      <x:c r="N29" s="13" t="n">
        <x:v>0</x:v>
      </x:c>
      <x:c r="O29" s="13" t="n">
        <x:v>0</x:v>
      </x:c>
      <x:c r="P29" s="13" t="n">
        <x:v>0</x:v>
      </x:c>
      <x:c r="Q29" s="13" t="n">
        <x:v>0</x:v>
      </x:c>
      <x:c r="R29" s="15" t="n">
        <x:v>0.828435653956412</x:v>
      </x:c>
      <x:c r="S29" s="17" t="n">
        <x:v>606.7444685928733</x:v>
      </x:c>
      <x:c r="T29" s="17" t="n">
        <x:v>667.3211610920835</x:v>
      </x:c>
      <x:c r="U29" s="23" t="b">
        <x:v>0</x:v>
      </x:c>
    </x:row>
    <x:row r="30" ht="22" customHeight="1">
      <x:c r="A30" s="7" t="str">
        <x:v>DeepSpatial</x:v>
      </x:c>
      <x:c r="B30" s="9" t="n">
        <x:v>2</x:v>
      </x:c>
      <x:c r="C30" s="7" t="str">
        <x:v>OD Mature 4</x:v>
      </x:c>
      <x:c r="D30" s="11" t="n">
        <x:v>36</x:v>
      </x:c>
      <x:c r="E30" s="22" t="n">
        <x:v>0.001607788843732</x:v>
      </x:c>
      <x:c r="F30" s="23" t="b">
        <x:v>1</x:v>
      </x:c>
      <x:c r="G30" s="11" t="n">
        <x:v>11</x:v>
      </x:c>
      <x:c r="H30" s="11" t="n">
        <x:v>9</x:v>
      </x:c>
      <x:c r="I30" s="13" t="n">
        <x:v>0.001856226797165</x:v>
      </x:c>
      <x:c r="J30" s="13" t="n">
        <x:v>0.001598579040852</x:v>
      </x:c>
      <x:c r="K30" s="17" t="n">
        <x:v>-0.025764775631246</x:v>
      </x:c>
      <x:c r="L30" s="13" t="n">
        <x:v>0</x:v>
      </x:c>
      <x:c r="M30" s="13" t="n">
        <x:v>0.090909090909091</x:v>
      </x:c>
      <x:c r="N30" s="13" t="n">
        <x:v>0.181818181818182</x:v>
      </x:c>
      <x:c r="O30" s="13" t="n">
        <x:v>0</x:v>
      </x:c>
      <x:c r="P30" s="13" t="n">
        <x:v>0.111111111111111</x:v>
      </x:c>
      <x:c r="Q30" s="13" t="n">
        <x:v>0.444444444444444</x:v>
      </x:c>
      <x:c r="R30" s="15" t="n">
        <x:v>0.893028984079114</x:v>
      </x:c>
      <x:c r="S30" s="17" t="n">
        <x:v>316.5868219789875</x:v>
      </x:c>
      <x:c r="T30" s="17" t="n">
        <x:v>167.94351479628406</x:v>
      </x:c>
      <x:c r="U30" s="23" t="b">
        <x:v>0</x:v>
      </x:c>
    </x:row>
    <x:row r="31" ht="22" customHeight="1">
      <x:c r="A31" s="7" t="str">
        <x:v>DeepSpatial</x:v>
      </x:c>
      <x:c r="B31" s="9" t="n">
        <x:v>2</x:v>
      </x:c>
      <x:c r="C31" s="7" t="str">
        <x:v>Pericytes</x:v>
      </x:c>
      <x:c r="D31" s="11" t="n">
        <x:v>179</x:v>
      </x:c>
      <x:c r="E31" s="22" t="n">
        <x:v>0.007994283417444</x:v>
      </x:c>
      <x:c r="F31" s="23" t="b">
        <x:v>1</x:v>
      </x:c>
      <x:c r="G31" s="11" t="n">
        <x:v>25</x:v>
      </x:c>
      <x:c r="H31" s="11" t="n">
        <x:v>41</x:v>
      </x:c>
      <x:c r="I31" s="13" t="n">
        <x:v>0.004218697266284</x:v>
      </x:c>
      <x:c r="J31" s="13" t="n">
        <x:v>0.007282415630551</x:v>
      </x:c>
      <x:c r="K31" s="17" t="n">
        <x:v>0.306371836426645</x:v>
      </x:c>
      <x:c r="L31" s="13" t="n">
        <x:v>0</x:v>
      </x:c>
      <x:c r="M31" s="13" t="n">
        <x:v>0.04</x:v>
      </x:c>
      <x:c r="N31" s="13" t="n">
        <x:v>0.08</x:v>
      </x:c>
      <x:c r="O31" s="13" t="n">
        <x:v>0</x:v>
      </x:c>
      <x:c r="P31" s="13" t="n">
        <x:v>0.024390243902439</x:v>
      </x:c>
      <x:c r="Q31" s="13" t="n">
        <x:v>0.073170731707317</x:v>
      </x:c>
      <x:c r="R31" s="15" t="n">
        <x:v>0.958079873159037</x:v>
      </x:c>
      <x:c r="S31" s="17" t="n">
        <x:v>212.1416234286621</x:v>
      </x:c>
      <x:c r="T31" s="17" t="n">
        <x:v>248.55778719969788</x:v>
      </x:c>
      <x:c r="U31" s="23" t="b">
        <x:v>0</x:v>
      </x:c>
    </x:row>
    <x:row r="32" ht="22" customHeight="1">
      <x:c r="A32" s="7" t="str">
        <x:v>DeepSpatial</x:v>
      </x:c>
      <x:c r="B32" s="9" t="n">
        <x:v>3</x:v>
      </x:c>
      <x:c r="C32" s="7" t="str">
        <x:v>Astrocyte</x:v>
      </x:c>
      <x:c r="D32" s="11" t="n">
        <x:v>2742</x:v>
      </x:c>
      <x:c r="E32" s="22" t="n">
        <x:v>0.121790885671138</x:v>
      </x:c>
      <x:c r="F32" s="23" t="b">
        <x:v>0</x:v>
      </x:c>
      <x:c r="G32" s="11" t="n">
        <x:v>664</x:v>
      </x:c>
      <x:c r="H32" s="11" t="n">
        <x:v>688</x:v>
      </x:c>
      <x:c r="I32" s="13" t="n">
        <x:v>0.114423574013441</x:v>
      </x:c>
      <x:c r="J32" s="13" t="n">
        <x:v>0.119382266180809</x:v>
      </x:c>
      <x:c r="K32" s="17" t="n">
        <x:v>0.495869216736729</x:v>
      </x:c>
      <x:c r="L32" s="13" t="n">
        <x:v>0.281626506024096</x:v>
      </x:c>
      <x:c r="M32" s="13" t="n">
        <x:v>0.615963855421687</x:v>
      </x:c>
      <x:c r="N32" s="13" t="n">
        <x:v>0.871987951807229</x:v>
      </x:c>
      <x:c r="O32" s="13" t="n">
        <x:v>0.356104651162791</x:v>
      </x:c>
      <x:c r="P32" s="13" t="n">
        <x:v>0.800872093023256</x:v>
      </x:c>
      <x:c r="Q32" s="13" t="n">
        <x:v>0.994186046511628</x:v>
      </x:c>
      <x:c r="R32" s="15" t="n">
        <x:v>0.995573760243026</x:v>
      </x:c>
      <x:c r="S32" s="17" t="n">
        <x:v>52.28623741579545</x:v>
      </x:c>
      <x:c r="T32" s="17" t="n">
        <x:v>35.05093125229003</x:v>
      </x:c>
      <x:c r="U32" s="23" t="b">
        <x:v>0</x:v>
      </x:c>
    </x:row>
    <x:row r="33" ht="22" customHeight="1">
      <x:c r="A33" s="7" t="str">
        <x:v>DeepSpatial</x:v>
      </x:c>
      <x:c r="B33" s="9" t="n">
        <x:v>3</x:v>
      </x:c>
      <x:c r="C33" s="7" t="str">
        <x:v>Endothelial 1</x:v>
      </x:c>
      <x:c r="D33" s="11" t="n">
        <x:v>1176</x:v>
      </x:c>
      <x:c r="E33" s="22" t="n">
        <x:v>0.05223416540819</x:v>
      </x:c>
      <x:c r="F33" s="23" t="b">
        <x:v>0</x:v>
      </x:c>
      <x:c r="G33" s="11" t="n">
        <x:v>304</x:v>
      </x:c>
      <x:c r="H33" s="11" t="n">
        <x:v>321</x:v>
      </x:c>
      <x:c r="I33" s="13" t="n">
        <x:v>0.052386696536274</x:v>
      </x:c>
      <x:c r="J33" s="13" t="n">
        <x:v>0.055700156168662</x:v>
      </x:c>
      <x:c r="K33" s="17" t="n">
        <x:v>0.331345963238781</x:v>
      </x:c>
      <x:c r="L33" s="13" t="n">
        <x:v>0.138157894736842</x:v>
      </x:c>
      <x:c r="M33" s="13" t="n">
        <x:v>0.361842105263158</x:v>
      </x:c>
      <x:c r="N33" s="13" t="n">
        <x:v>0.763157894736842</x:v>
      </x:c>
      <x:c r="O33" s="13" t="n">
        <x:v>0.161993769470405</x:v>
      </x:c>
      <x:c r="P33" s="13" t="n">
        <x:v>0.482866043613707</x:v>
      </x:c>
      <x:c r="Q33" s="13" t="n">
        <x:v>0.925233644859813</x:v>
      </x:c>
      <x:c r="R33" s="15" t="n">
        <x:v>0.993245162680767</x:v>
      </x:c>
      <x:c r="S33" s="17" t="n">
        <x:v>74.69298574159927</x:v>
      </x:c>
      <x:c r="T33" s="17" t="n">
        <x:v>54.56719100484778</x:v>
      </x:c>
      <x:c r="U33" s="23" t="b">
        <x:v>0</x:v>
      </x:c>
    </x:row>
    <x:row r="34" ht="22" customHeight="1">
      <x:c r="A34" s="7" t="str">
        <x:v>DeepSpatial</x:v>
      </x:c>
      <x:c r="B34" s="9" t="n">
        <x:v>3</x:v>
      </x:c>
      <x:c r="C34" s="7" t="str">
        <x:v>Endothelial 2</x:v>
      </x:c>
      <x:c r="D34" s="11" t="n">
        <x:v>117</x:v>
      </x:c>
      <x:c r="E34" s="22" t="n">
        <x:v>0.005196766456427</x:v>
      </x:c>
      <x:c r="F34" s="23" t="b">
        <x:v>1</x:v>
      </x:c>
      <x:c r="G34" s="11" t="n">
        <x:v>27</x:v>
      </x:c>
      <x:c r="H34" s="11" t="n">
        <x:v>27</x:v>
      </x:c>
      <x:c r="I34" s="13" t="n">
        <x:v>0.004652765810788</x:v>
      </x:c>
      <x:c r="J34" s="13" t="n">
        <x:v>0.004685059864654</x:v>
      </x:c>
      <x:c r="K34" s="17" t="n">
        <x:v>0.00322940538663</x:v>
      </x:c>
      <x:c r="L34" s="13" t="n">
        <x:v>0.037037037037037</x:v>
      </x:c>
      <x:c r="M34" s="13" t="n">
        <x:v>0.074074074074074</x:v>
      </x:c>
      <x:c r="N34" s="13" t="n">
        <x:v>0.111111111111111</x:v>
      </x:c>
      <x:c r="O34" s="13" t="n">
        <x:v>0.074074074074074</x:v>
      </x:c>
      <x:c r="P34" s="13" t="n">
        <x:v>0.111111111111111</x:v>
      </x:c>
      <x:c r="Q34" s="13" t="n">
        <x:v>0.185185185185185</x:v>
      </x:c>
      <x:c r="R34" s="15" t="n">
        <x:v>0.908951424617172</x:v>
      </x:c>
      <x:c r="S34" s="17" t="n">
        <x:v>346.98934584766334</x:v>
      </x:c>
      <x:c r="T34" s="17" t="n">
        <x:v>196.83728429185788</x:v>
      </x:c>
      <x:c r="U34" s="23" t="b">
        <x:v>0</x:v>
      </x:c>
    </x:row>
    <x:row r="35" ht="22" customHeight="1">
      <x:c r="A35" s="7" t="str">
        <x:v>DeepSpatial</x:v>
      </x:c>
      <x:c r="B35" s="9" t="n">
        <x:v>3</x:v>
      </x:c>
      <x:c r="C35" s="7" t="str">
        <x:v>Endothelial 3</x:v>
      </x:c>
      <x:c r="D35" s="11" t="n">
        <x:v>455</x:v>
      </x:c>
      <x:c r="E35" s="22" t="n">
        <x:v>0.02020964733055</x:v>
      </x:c>
      <x:c r="F35" s="23" t="b">
        <x:v>1</x:v>
      </x:c>
      <x:c r="G35" s="11" t="n">
        <x:v>94</x:v>
      </x:c>
      <x:c r="H35" s="11" t="n">
        <x:v>137</x:v>
      </x:c>
      <x:c r="I35" s="13" t="n">
        <x:v>0.016198518007927</x:v>
      </x:c>
      <x:c r="J35" s="13" t="n">
        <x:v>0.023772340794725</x:v>
      </x:c>
      <x:c r="K35" s="17" t="n">
        <x:v>0.757382278679803</x:v>
      </x:c>
      <x:c r="L35" s="13" t="n">
        <x:v>0.074468085106383</x:v>
      </x:c>
      <x:c r="M35" s="13" t="n">
        <x:v>0.24468085106383</x:v>
      </x:c>
      <x:c r="N35" s="13" t="n">
        <x:v>0.48936170212766</x:v>
      </x:c>
      <x:c r="O35" s="13" t="n">
        <x:v>0.087591240875912</x:v>
      </x:c>
      <x:c r="P35" s="13" t="n">
        <x:v>0.233576642335766</x:v>
      </x:c>
      <x:c r="Q35" s="13" t="n">
        <x:v>0.554744525547445</x:v>
      </x:c>
      <x:c r="R35" s="15" t="n">
        <x:v>0.984161796438092</x:v>
      </x:c>
      <x:c r="S35" s="17" t="n">
        <x:v>120.5220129955751</x:v>
      </x:c>
      <x:c r="T35" s="17" t="n">
        <x:v>92.7080419978607</x:v>
      </x:c>
      <x:c r="U35" s="23" t="b">
        <x:v>0</x:v>
      </x:c>
    </x:row>
    <x:row r="36" ht="22" customHeight="1">
      <x:c r="A36" s="7" t="str">
        <x:v>DeepSpatial</x:v>
      </x:c>
      <x:c r="B36" s="9" t="n">
        <x:v>3</x:v>
      </x:c>
      <x:c r="C36" s="7" t="str">
        <x:v>Ependymal</x:v>
      </x:c>
      <x:c r="D36" s="11" t="n">
        <x:v>1055</x:v>
      </x:c>
      <x:c r="E36" s="22" t="n">
        <x:v>0.046859731722484</x:v>
      </x:c>
      <x:c r="F36" s="23" t="b">
        <x:v>1</x:v>
      </x:c>
      <x:c r="G36" s="11" t="n">
        <x:v>232</x:v>
      </x:c>
      <x:c r="H36" s="11" t="n">
        <x:v>261</x:v>
      </x:c>
      <x:c r="I36" s="13" t="n">
        <x:v>0.039979321040841</x:v>
      </x:c>
      <x:c r="J36" s="13" t="n">
        <x:v>0.045288912024987</x:v>
      </x:c>
      <x:c r="K36" s="17" t="n">
        <x:v>0.530959098414604</x:v>
      </x:c>
      <x:c r="L36" s="13" t="n">
        <x:v>0.823275862068966</x:v>
      </x:c>
      <x:c r="M36" s="13" t="n">
        <x:v>0.935344827586207</x:v>
      </x:c>
      <x:c r="N36" s="13" t="n">
        <x:v>0.987068965517241</x:v>
      </x:c>
      <x:c r="O36" s="13" t="n">
        <x:v>0.666666666666667</x:v>
      </x:c>
      <x:c r="P36" s="13" t="n">
        <x:v>0.862068965517241</x:v>
      </x:c>
      <x:c r="Q36" s="13" t="n">
        <x:v>0.980842911877395</x:v>
      </x:c>
      <x:c r="R36" s="15" t="n">
        <x:v>0.993129308993595</x:v>
      </x:c>
      <x:c r="S36" s="17" t="n">
        <x:v>17.83967210644312</x:v>
      </x:c>
      <x:c r="T36" s="17" t="n">
        <x:v>23.50596330265648</x:v>
      </x:c>
      <x:c r="U36" s="23" t="b">
        <x:v>0</x:v>
      </x:c>
    </x:row>
    <x:row r="37" ht="22" customHeight="1">
      <x:c r="A37" s="7" t="str">
        <x:v>DeepSpatial</x:v>
      </x:c>
      <x:c r="B37" s="9" t="n">
        <x:v>3</x:v>
      </x:c>
      <x:c r="C37" s="7" t="str">
        <x:v>Excitatory</x:v>
      </x:c>
      <x:c r="D37" s="11" t="n">
        <x:v>4593</x:v>
      </x:c>
      <x:c r="E37" s="22" t="n">
        <x:v>0.204006396020254</x:v>
      </x:c>
      <x:c r="F37" s="23" t="b">
        <x:v>0</x:v>
      </x:c>
      <x:c r="G37" s="11" t="n">
        <x:v>1194</x:v>
      </x:c>
      <x:c r="H37" s="11" t="n">
        <x:v>1210</x:v>
      </x:c>
      <x:c r="I37" s="13" t="n">
        <x:v>0.205755643632604</x:v>
      </x:c>
      <x:c r="J37" s="13" t="n">
        <x:v>0.209960090230782</x:v>
      </x:c>
      <x:c r="K37" s="17" t="n">
        <x:v>0.420444659817876</x:v>
      </x:c>
      <x:c r="L37" s="13" t="n">
        <x:v>0.438023450586265</x:v>
      </x:c>
      <x:c r="M37" s="13" t="n">
        <x:v>0.776381909547739</x:v>
      </x:c>
      <x:c r="N37" s="13" t="n">
        <x:v>0.937185929648241</x:v>
      </x:c>
      <x:c r="O37" s="13" t="n">
        <x:v>0.511570247933884</x:v>
      </x:c>
      <x:c r="P37" s="13" t="n">
        <x:v>0.892561983471074</x:v>
      </x:c>
      <x:c r="Q37" s="13" t="n">
        <x:v>0.993388429752066</x:v>
      </x:c>
      <x:c r="R37" s="15" t="n">
        <x:v>0.992877420831496</x:v>
      </x:c>
      <x:c r="S37" s="17" t="n">
        <x:v>37.73613594145391</x:v>
      </x:c>
      <x:c r="T37" s="17" t="n">
        <x:v>28.098078806010346</x:v>
      </x:c>
      <x:c r="U37" s="23" t="b">
        <x:v>0</x:v>
      </x:c>
    </x:row>
    <x:row r="38" ht="22" customHeight="1">
      <x:c r="A38" s="7" t="str">
        <x:v>DeepSpatial</x:v>
      </x:c>
      <x:c r="B38" s="9" t="n">
        <x:v>3</x:v>
      </x:c>
      <x:c r="C38" s="7" t="str">
        <x:v>Inhibitory</x:v>
      </x:c>
      <x:c r="D38" s="11" t="n">
        <x:v>9762</x:v>
      </x:c>
      <x:c r="E38" s="22" t="n">
        <x:v>0.433596873056765</x:v>
      </x:c>
      <x:c r="F38" s="23" t="b">
        <x:v>0</x:v>
      </x:c>
      <x:c r="G38" s="11" t="n">
        <x:v>2607</x:v>
      </x:c>
      <x:c r="H38" s="11" t="n">
        <x:v>2490</x:v>
      </x:c>
      <x:c r="I38" s="13" t="n">
        <x:v>0.449250387730484</x:v>
      </x:c>
      <x:c r="J38" s="13" t="n">
        <x:v>0.43206663196252</x:v>
      </x:c>
      <x:c r="K38" s="17" t="n">
        <x:v>-1.718375576796472</x:v>
      </x:c>
      <x:c r="L38" s="13" t="n">
        <x:v>0.647487533563483</x:v>
      </x:c>
      <x:c r="M38" s="13" t="n">
        <x:v>0.880322209436134</x:v>
      </x:c>
      <x:c r="N38" s="13" t="n">
        <x:v>0.971614883007288</x:v>
      </x:c>
      <x:c r="O38" s="13" t="n">
        <x:v>0.836947791164659</x:v>
      </x:c>
      <x:c r="P38" s="13" t="n">
        <x:v>0.976305220883534</x:v>
      </x:c>
      <x:c r="Q38" s="13" t="n">
        <x:v>0.998795180722892</x:v>
      </x:c>
      <x:c r="R38" s="15" t="n">
        <x:v>0.994808279745485</x:v>
      </x:c>
      <x:c r="S38" s="17" t="n">
        <x:v>26.58869152869057</x:v>
      </x:c>
      <x:c r="T38" s="17" t="n">
        <x:v>16.960388218170195</x:v>
      </x:c>
      <x:c r="U38" s="23" t="b">
        <x:v>0</x:v>
      </x:c>
    </x:row>
    <x:row r="39" ht="22" customHeight="1">
      <x:c r="A39" s="7" t="str">
        <x:v>DeepSpatial</x:v>
      </x:c>
      <x:c r="B39" s="9" t="n">
        <x:v>3</x:v>
      </x:c>
      <x:c r="C39" s="7" t="str">
        <x:v>Microglia</x:v>
      </x:c>
      <x:c r="D39" s="11" t="n">
        <x:v>473</x:v>
      </x:c>
      <x:c r="E39" s="22" t="n">
        <x:v>0.021009149862308</x:v>
      </x:c>
      <x:c r="F39" s="23" t="b">
        <x:v>1</x:v>
      </x:c>
      <x:c r="G39" s="11" t="n">
        <x:v>121</x:v>
      </x:c>
      <x:c r="H39" s="11" t="n">
        <x:v>110</x:v>
      </x:c>
      <x:c r="I39" s="13" t="n">
        <x:v>0.020851283818714</x:v>
      </x:c>
      <x:c r="J39" s="13" t="n">
        <x:v>0.019087280930071</x:v>
      </x:c>
      <x:c r="K39" s="17" t="n">
        <x:v>-0.176400288864332</x:v>
      </x:c>
      <x:c r="L39" s="13" t="n">
        <x:v>0.049586776859504</x:v>
      </x:c>
      <x:c r="M39" s="13" t="n">
        <x:v>0.181818181818182</x:v>
      </x:c>
      <x:c r="N39" s="13" t="n">
        <x:v>0.40495867768595</x:v>
      </x:c>
      <x:c r="O39" s="13" t="n">
        <x:v>0.054545454545454</x:v>
      </x:c>
      <x:c r="P39" s="13" t="n">
        <x:v>0.227272727272727</x:v>
      </x:c>
      <x:c r="Q39" s="13" t="n">
        <x:v>0.663636363636364</x:v>
      </x:c>
      <x:c r="R39" s="15" t="n">
        <x:v>0.983487383425967</x:v>
      </x:c>
      <x:c r="S39" s="17" t="n">
        <x:v>131.20570641207158</x:v>
      </x:c>
      <x:c r="T39" s="17" t="n">
        <x:v>84.77921887492329</x:v>
      </x:c>
      <x:c r="U39" s="23" t="b">
        <x:v>0</x:v>
      </x:c>
    </x:row>
    <x:row r="40" ht="22" customHeight="1">
      <x:c r="A40" s="7" t="str">
        <x:v>DeepSpatial</x:v>
      </x:c>
      <x:c r="B40" s="9" t="n">
        <x:v>3</x:v>
      </x:c>
      <x:c r="C40" s="7" t="str">
        <x:v>OD Immature 1</x:v>
      </x:c>
      <x:c r="D40" s="11" t="n">
        <x:v>814</x:v>
      </x:c>
      <x:c r="E40" s="22" t="n">
        <x:v>0.03615528115839</x:v>
      </x:c>
      <x:c r="F40" s="23" t="b">
        <x:v>1</x:v>
      </x:c>
      <x:c r="G40" s="11" t="n">
        <x:v>198</x:v>
      </x:c>
      <x:c r="H40" s="11" t="n">
        <x:v>194</x:v>
      </x:c>
      <x:c r="I40" s="13" t="n">
        <x:v>0.034120282612442</x:v>
      </x:c>
      <x:c r="J40" s="13" t="n">
        <x:v>0.033663022731216</x:v>
      </x:c>
      <x:c r="K40" s="17" t="n">
        <x:v>-0.045725988122546</x:v>
      </x:c>
      <x:c r="L40" s="13" t="n">
        <x:v>0.060606060606061</x:v>
      </x:c>
      <x:c r="M40" s="13" t="n">
        <x:v>0.257575757575758</x:v>
      </x:c>
      <x:c r="N40" s="13" t="n">
        <x:v>0.707070707070707</x:v>
      </x:c>
      <x:c r="O40" s="13" t="n">
        <x:v>0.092783505154639</x:v>
      </x:c>
      <x:c r="P40" s="13" t="n">
        <x:v>0.376288659793814</x:v>
      </x:c>
      <x:c r="Q40" s="13" t="n">
        <x:v>0.845360824742268</x:v>
      </x:c>
      <x:c r="R40" s="15" t="n">
        <x:v>0.991247352900212</x:v>
      </x:c>
      <x:c r="S40" s="17" t="n">
        <x:v>89.03822079699272</x:v>
      </x:c>
      <x:c r="T40" s="17" t="n">
        <x:v>65.02161955618114</x:v>
      </x:c>
      <x:c r="U40" s="23" t="b">
        <x:v>0</x:v>
      </x:c>
    </x:row>
    <x:row r="41" ht="22" customHeight="1">
      <x:c r="A41" s="7" t="str">
        <x:v>DeepSpatial</x:v>
      </x:c>
      <x:c r="B41" s="9" t="n">
        <x:v>3</x:v>
      </x:c>
      <x:c r="C41" s="7" t="str">
        <x:v>OD Immature 2</x:v>
      </x:c>
      <x:c r="D41" s="11" t="n">
        <x:v>26</x:v>
      </x:c>
      <x:c r="E41" s="22" t="n">
        <x:v>0.001154836990317</x:v>
      </x:c>
      <x:c r="F41" s="23" t="b">
        <x:v>1</x:v>
      </x:c>
      <x:c r="G41" s="11" t="n">
        <x:v>7</x:v>
      </x:c>
      <x:c r="H41" s="11" t="n">
        <x:v>6</x:v>
      </x:c>
      <x:c r="I41" s="13" t="n">
        <x:v>0.001206272617612</x:v>
      </x:c>
      <x:c r="J41" s="13" t="n">
        <x:v>0.001041124414368</x:v>
      </x:c>
      <x:c r="K41" s="17" t="n">
        <x:v>-0.016514820324406</x:v>
      </x:c>
      <x:c r="L41" s="13" t="n">
        <x:v>0</x:v>
      </x:c>
      <x:c r="M41" s="13" t="n">
        <x:v>0</x:v>
      </x:c>
      <x:c r="N41" s="13" t="n">
        <x:v>0</x:v>
      </x:c>
      <x:c r="O41" s="13" t="n">
        <x:v>0</x:v>
      </x:c>
      <x:c r="P41" s="13" t="n">
        <x:v>0</x:v>
      </x:c>
      <x:c r="Q41" s="13" t="n">
        <x:v>0</x:v>
      </x:c>
      <x:c r="R41" s="15" t="n">
        <x:v>0.79267236803444</x:v>
      </x:c>
      <x:c r="S41" s="17" t="n">
        <x:v>266.8575171886335</x:v>
      </x:c>
      <x:c r="T41" s="17" t="n">
        <x:v>282.0426130098248</x:v>
      </x:c>
      <x:c r="U41" s="23" t="b">
        <x:v>0</x:v>
      </x:c>
    </x:row>
    <x:row r="42" ht="22" customHeight="1">
      <x:c r="A42" s="7" t="str">
        <x:v>DeepSpatial</x:v>
      </x:c>
      <x:c r="B42" s="9" t="n">
        <x:v>3</x:v>
      </x:c>
      <x:c r="C42" s="7" t="str">
        <x:v>OD Mature 1</x:v>
      </x:c>
      <x:c r="D42" s="11" t="n">
        <x:v>192</x:v>
      </x:c>
      <x:c r="E42" s="22" t="n">
        <x:v>0.008528027005419</x:v>
      </x:c>
      <x:c r="F42" s="23" t="b">
        <x:v>1</x:v>
      </x:c>
      <x:c r="G42" s="11" t="n">
        <x:v>46</x:v>
      </x:c>
      <x:c r="H42" s="11" t="n">
        <x:v>49</x:v>
      </x:c>
      <x:c r="I42" s="13" t="n">
        <x:v>0.007926934344305</x:v>
      </x:c>
      <x:c r="J42" s="13" t="n">
        <x:v>0.008502516050668</x:v>
      </x:c>
      <x:c r="K42" s="17" t="n">
        <x:v>0.057558170636338</x:v>
      </x:c>
      <x:c r="L42" s="13" t="n">
        <x:v>0.08695652173913</x:v>
      </x:c>
      <x:c r="M42" s="13" t="n">
        <x:v>0.217391304347826</x:v>
      </x:c>
      <x:c r="N42" s="13" t="n">
        <x:v>0.543478260869565</x:v>
      </x:c>
      <x:c r="O42" s="13" t="n">
        <x:v>0.081632653061224</x:v>
      </x:c>
      <x:c r="P42" s="13" t="n">
        <x:v>0.163265306122449</x:v>
      </x:c>
      <x:c r="Q42" s="13" t="n">
        <x:v>0.346938775510204</x:v>
      </x:c>
      <x:c r="R42" s="15" t="n">
        <x:v>0.972897814474895</x:v>
      </x:c>
      <x:c r="S42" s="17" t="n">
        <x:v>129.4925991046966</x:v>
      </x:c>
      <x:c r="T42" s="17" t="n">
        <x:v>189.4659913554065</x:v>
      </x:c>
      <x:c r="U42" s="23" t="b">
        <x:v>0</x:v>
      </x:c>
    </x:row>
    <x:row r="43" ht="22" customHeight="1">
      <x:c r="A43" s="7" t="str">
        <x:v>DeepSpatial</x:v>
      </x:c>
      <x:c r="B43" s="9" t="n">
        <x:v>3</x:v>
      </x:c>
      <x:c r="C43" s="7" t="str">
        <x:v>OD Mature 2</x:v>
      </x:c>
      <x:c r="D43" s="11" t="n">
        <x:v>907</x:v>
      </x:c>
      <x:c r="E43" s="22" t="n">
        <x:v>0.04028604423914</x:v>
      </x:c>
      <x:c r="F43" s="23" t="b">
        <x:v>1</x:v>
      </x:c>
      <x:c r="G43" s="11" t="n">
        <x:v>246</x:v>
      </x:c>
      <x:c r="H43" s="11" t="n">
        <x:v>214</x:v>
      </x:c>
      <x:c r="I43" s="13" t="n">
        <x:v>0.042391866276064</x:v>
      </x:c>
      <x:c r="J43" s="13" t="n">
        <x:v>0.037133437445775</x:v>
      </x:c>
      <x:c r="K43" s="17" t="n">
        <x:v>-0.525842883028933</x:v>
      </x:c>
      <x:c r="L43" s="13" t="n">
        <x:v>0.146341463414634</x:v>
      </x:c>
      <x:c r="M43" s="13" t="n">
        <x:v>0.369918699186992</x:v>
      </x:c>
      <x:c r="N43" s="13" t="n">
        <x:v>0.731707317073171</x:v>
      </x:c>
      <x:c r="O43" s="13" t="n">
        <x:v>0.158878504672897</x:v>
      </x:c>
      <x:c r="P43" s="13" t="n">
        <x:v>0.369158878504673</x:v>
      </x:c>
      <x:c r="Q43" s="13" t="n">
        <x:v>0.705607476635514</x:v>
      </x:c>
      <x:c r="R43" s="15" t="n">
        <x:v>0.995804971392171</x:v>
      </x:c>
      <x:c r="S43" s="17" t="n">
        <x:v>78.90498638606464</x:v>
      </x:c>
      <x:c r="T43" s="17" t="n">
        <x:v>80.88841124077155</x:v>
      </x:c>
      <x:c r="U43" s="23" t="b">
        <x:v>0</x:v>
      </x:c>
    </x:row>
    <x:row r="44" ht="22" customHeight="1">
      <x:c r="A44" s="7" t="str">
        <x:v>DeepSpatial</x:v>
      </x:c>
      <x:c r="B44" s="9" t="n">
        <x:v>3</x:v>
      </x:c>
      <x:c r="C44" s="7" t="str">
        <x:v>OD Mature 3</x:v>
      </x:c>
      <x:c r="D44" s="11" t="n">
        <x:v>11</x:v>
      </x:c>
      <x:c r="E44" s="22" t="n">
        <x:v>0.000488584880519</x:v>
      </x:c>
      <x:c r="F44" s="23" t="b">
        <x:v>1</x:v>
      </x:c>
      <x:c r="G44" s="11" t="n">
        <x:v>3</x:v>
      </x:c>
      <x:c r="H44" s="11" t="n">
        <x:v>3</x:v>
      </x:c>
      <x:c r="I44" s="13" t="n">
        <x:v>0.000516973978976</x:v>
      </x:c>
      <x:c r="J44" s="13" t="n">
        <x:v>0.000520562207184</x:v>
      </x:c>
      <x:c r="K44" s="17" t="n">
        <x:v>0.000358822820737</x:v>
      </x:c>
      <x:c r="L44" s="13" t="n">
        <x:v>0</x:v>
      </x:c>
      <x:c r="M44" s="13" t="n">
        <x:v>0</x:v>
      </x:c>
      <x:c r="N44" s="13" t="n">
        <x:v>0</x:v>
      </x:c>
      <x:c r="O44" s="13" t="n">
        <x:v>0</x:v>
      </x:c>
      <x:c r="P44" s="13" t="n">
        <x:v>0</x:v>
      </x:c>
      <x:c r="Q44" s="13" t="n">
        <x:v>0</x:v>
      </x:c>
      <x:c r="R44" s="15" t="n">
        <x:v>0.860951962568375</x:v>
      </x:c>
      <x:c r="S44" s="17" t="n">
        <x:v>621.3223987022523</x:v>
      </x:c>
      <x:c r="T44" s="17" t="n">
        <x:v>390.7956896708863</x:v>
      </x:c>
      <x:c r="U44" s="23" t="b">
        <x:v>0</x:v>
      </x:c>
    </x:row>
    <x:row r="45" ht="22" customHeight="1">
      <x:c r="A45" s="7" t="str">
        <x:v>DeepSpatial</x:v>
      </x:c>
      <x:c r="B45" s="9" t="n">
        <x:v>3</x:v>
      </x:c>
      <x:c r="C45" s="7" t="str">
        <x:v>OD Mature 4</x:v>
      </x:c>
      <x:c r="D45" s="11" t="n">
        <x:v>39</x:v>
      </x:c>
      <x:c r="E45" s="22" t="n">
        <x:v>0.001732255485476</x:v>
      </x:c>
      <x:c r="F45" s="23" t="b">
        <x:v>1</x:v>
      </x:c>
      <x:c r="G45" s="11" t="n">
        <x:v>8</x:v>
      </x:c>
      <x:c r="H45" s="11" t="n">
        <x:v>11</x:v>
      </x:c>
      <x:c r="I45" s="13" t="n">
        <x:v>0.00137859727727</x:v>
      </x:c>
      <x:c r="J45" s="13" t="n">
        <x:v>0.001908728093007</x:v>
      </x:c>
      <x:c r="K45" s="17" t="n">
        <x:v>0.053013081573674</x:v>
      </x:c>
      <x:c r="L45" s="13" t="n">
        <x:v>0</x:v>
      </x:c>
      <x:c r="M45" s="13" t="n">
        <x:v>0</x:v>
      </x:c>
      <x:c r="N45" s="13" t="n">
        <x:v>0.125</x:v>
      </x:c>
      <x:c r="O45" s="13" t="n">
        <x:v>0</x:v>
      </x:c>
      <x:c r="P45" s="13" t="n">
        <x:v>0</x:v>
      </x:c>
      <x:c r="Q45" s="13" t="n">
        <x:v>0.090909090909091</x:v>
      </x:c>
      <x:c r="R45" s="15" t="n">
        <x:v>0.94975814727812</x:v>
      </x:c>
      <x:c r="S45" s="17" t="n">
        <x:v>397.259729770233</x:v>
      </x:c>
      <x:c r="T45" s="17" t="n">
        <x:v>475.4886048733956</x:v>
      </x:c>
      <x:c r="U45" s="23" t="b">
        <x:v>0</x:v>
      </x:c>
    </x:row>
    <x:row r="46" ht="22" customHeight="1">
      <x:c r="A46" s="7" t="str">
        <x:v>DeepSpatial</x:v>
      </x:c>
      <x:c r="B46" s="9" t="n">
        <x:v>3</x:v>
      </x:c>
      <x:c r="C46" s="7" t="str">
        <x:v>Pericytes</x:v>
      </x:c>
      <x:c r="D46" s="11" t="n">
        <x:v>152</x:v>
      </x:c>
      <x:c r="E46" s="22" t="n">
        <x:v>0.006751354712623</x:v>
      </x:c>
      <x:c r="F46" s="23" t="b">
        <x:v>1</x:v>
      </x:c>
      <x:c r="G46" s="11" t="n">
        <x:v>52</x:v>
      </x:c>
      <x:c r="H46" s="11" t="n">
        <x:v>42</x:v>
      </x:c>
      <x:c r="I46" s="13" t="n">
        <x:v>0.008960882302257</x:v>
      </x:c>
      <x:c r="J46" s="13" t="n">
        <x:v>0.007287870900573</x:v>
      </x:c>
      <x:c r="K46" s="17" t="n">
        <x:v>-0.167301140168484</x:v>
      </x:c>
      <x:c r="L46" s="13" t="n">
        <x:v>0</x:v>
      </x:c>
      <x:c r="M46" s="13" t="n">
        <x:v>0.076923076923077</x:v>
      </x:c>
      <x:c r="N46" s="13" t="n">
        <x:v>0.480769230769231</x:v>
      </x:c>
      <x:c r="O46" s="13" t="n">
        <x:v>0</x:v>
      </x:c>
      <x:c r="P46" s="13" t="n">
        <x:v>0.023809523809524</x:v>
      </x:c>
      <x:c r="Q46" s="13" t="n">
        <x:v>0.095238095238095</x:v>
      </x:c>
      <x:c r="R46" s="15" t="n">
        <x:v>0.936164198781063</x:v>
      </x:c>
      <x:c r="S46" s="17" t="n">
        <x:v>149.78747318602365</x:v>
      </x:c>
      <x:c r="T46" s="17" t="n">
        <x:v>296.51784348585244</x:v>
      </x:c>
      <x:c r="U46" s="23" t="b">
        <x:v>0</x:v>
      </x:c>
    </x:row>
    <x:row r="47" ht="22" customHeight="1">
      <x:c r="A47" s="7" t="str">
        <x:v>V1</x:v>
      </x:c>
      <x:c r="B47" s="9" t="n">
        <x:v>1</x:v>
      </x:c>
      <x:c r="C47" s="7" t="str">
        <x:v>Astrocyte</x:v>
      </x:c>
      <x:c r="D47" s="11" t="n">
        <x:v>2772</x:v>
      </x:c>
      <x:c r="E47" s="22" t="n">
        <x:v>0.121792618629174</x:v>
      </x:c>
      <x:c r="F47" s="23" t="b">
        <x:v>0</x:v>
      </x:c>
      <x:c r="G47" s="11" t="n">
        <x:v>634</x:v>
      </x:c>
      <x:c r="H47" s="11" t="n">
        <x:v>657</x:v>
      </x:c>
      <x:c r="I47" s="13" t="n">
        <x:v>0.114090336512507</x:v>
      </x:c>
      <x:c r="J47" s="13" t="n">
        <x:v>0.116883116883117</x:v>
      </x:c>
      <x:c r="K47" s="17" t="n">
        <x:v>0.279278037061013</x:v>
      </x:c>
      <x:c r="L47" s="13" t="n">
        <x:v>0.313880126182965</x:v>
      </x:c>
      <x:c r="M47" s="13" t="n">
        <x:v>0.70820189274448</x:v>
      </x:c>
      <x:c r="N47" s="13" t="n">
        <x:v>0.973186119873817</x:v>
      </x:c>
      <x:c r="O47" s="13" t="n">
        <x:v>0.39117199391172</x:v>
      </x:c>
      <x:c r="P47" s="13" t="n">
        <x:v>0.841704718417047</x:v>
      </x:c>
      <x:c r="Q47" s="13" t="n">
        <x:v>0.998477929984779</x:v>
      </x:c>
      <x:c r="R47" s="15" t="n">
        <x:v>0.997121471856094</x:v>
      </x:c>
      <x:c r="S47" s="17" t="n">
        <x:v>40.51585266254674</x:v>
      </x:c>
      <x:c r="T47" s="17" t="n">
        <x:v>32.793453595385024</x:v>
      </x:c>
      <x:c r="U47" s="23" t="b">
        <x:v>0</x:v>
      </x:c>
    </x:row>
    <x:row r="48" ht="22" customHeight="1">
      <x:c r="A48" s="7" t="str">
        <x:v>V1</x:v>
      </x:c>
      <x:c r="B48" s="9" t="n">
        <x:v>1</x:v>
      </x:c>
      <x:c r="C48" s="7" t="str">
        <x:v>Endothelial 1</x:v>
      </x:c>
      <x:c r="D48" s="11" t="n">
        <x:v>1209</x:v>
      </x:c>
      <x:c r="E48" s="22" t="n">
        <x:v>0.053119507908612</x:v>
      </x:c>
      <x:c r="F48" s="23" t="b">
        <x:v>0</x:v>
      </x:c>
      <x:c r="G48" s="11" t="n">
        <x:v>271</x:v>
      </x:c>
      <x:c r="H48" s="11" t="n">
        <x:v>326</x:v>
      </x:c>
      <x:c r="I48" s="13" t="n">
        <x:v>0.048767320496671</x:v>
      </x:c>
      <x:c r="J48" s="13" t="n">
        <x:v>0.057996797722825</x:v>
      </x:c>
      <x:c r="K48" s="17" t="n">
        <x:v>0.922947722615426</x:v>
      </x:c>
      <x:c r="L48" s="13" t="n">
        <x:v>0.199261992619926</x:v>
      </x:c>
      <x:c r="M48" s="13" t="n">
        <x:v>0.512915129151292</x:v>
      </x:c>
      <x:c r="N48" s="13" t="n">
        <x:v>0.900369003690037</x:v>
      </x:c>
      <x:c r="O48" s="13" t="n">
        <x:v>0.211656441717791</x:v>
      </x:c>
      <x:c r="P48" s="13" t="n">
        <x:v>0.51840490797546</x:v>
      </x:c>
      <x:c r="Q48" s="13" t="n">
        <x:v>0.911042944785276</x:v>
      </x:c>
      <x:c r="R48" s="15" t="n">
        <x:v>0.994934860505205</x:v>
      </x:c>
      <x:c r="S48" s="17" t="n">
        <x:v>53.90142138280746</x:v>
      </x:c>
      <x:c r="T48" s="17" t="n">
        <x:v>52.23083258958032</x:v>
      </x:c>
      <x:c r="U48" s="23" t="b">
        <x:v>0</x:v>
      </x:c>
    </x:row>
    <x:row r="49" ht="22" customHeight="1">
      <x:c r="A49" s="7" t="str">
        <x:v>V1</x:v>
      </x:c>
      <x:c r="B49" s="9" t="n">
        <x:v>1</x:v>
      </x:c>
      <x:c r="C49" s="7" t="str">
        <x:v>Endothelial 2</x:v>
      </x:c>
      <x:c r="D49" s="11" t="n">
        <x:v>103</x:v>
      </x:c>
      <x:c r="E49" s="22" t="n">
        <x:v>0.004525483304042</x:v>
      </x:c>
      <x:c r="F49" s="23" t="b">
        <x:v>1</x:v>
      </x:c>
      <x:c r="G49" s="11" t="n">
        <x:v>41</x:v>
      </x:c>
      <x:c r="H49" s="11" t="n">
        <x:v>22</x:v>
      </x:c>
      <x:c r="I49" s="13" t="n">
        <x:v>0.007378081698758</x:v>
      </x:c>
      <x:c r="J49" s="13" t="n">
        <x:v>0.003913894324853</x:v>
      </x:c>
      <x:c r="K49" s="17" t="n">
        <x:v>-0.346418737390509</x:v>
      </x:c>
      <x:c r="L49" s="13" t="n">
        <x:v>0.048780487804878</x:v>
      </x:c>
      <x:c r="M49" s="13" t="n">
        <x:v>0.097560975609756</x:v>
      </x:c>
      <x:c r="N49" s="13" t="n">
        <x:v>0.146341463414634</x:v>
      </x:c>
      <x:c r="O49" s="13" t="n">
        <x:v>0.090909090909091</x:v>
      </x:c>
      <x:c r="P49" s="13" t="n">
        <x:v>0.272727272727273</x:v>
      </x:c>
      <x:c r="Q49" s="13" t="n">
        <x:v>0.590909090909091</x:v>
      </x:c>
      <x:c r="R49" s="15" t="n">
        <x:v>0.927925181013088</x:v>
      </x:c>
      <x:c r="S49" s="17" t="n">
        <x:v>321.5129355670363</x:v>
      </x:c>
      <x:c r="T49" s="17" t="n">
        <x:v>111.12363468235414</x:v>
      </x:c>
      <x:c r="U49" s="23" t="b">
        <x:v>0</x:v>
      </x:c>
    </x:row>
    <x:row r="50" ht="22" customHeight="1">
      <x:c r="A50" s="7" t="str">
        <x:v>V1</x:v>
      </x:c>
      <x:c r="B50" s="9" t="n">
        <x:v>1</x:v>
      </x:c>
      <x:c r="C50" s="7" t="str">
        <x:v>Endothelial 3</x:v>
      </x:c>
      <x:c r="D50" s="11" t="n">
        <x:v>433</x:v>
      </x:c>
      <x:c r="E50" s="22" t="n">
        <x:v>0.01902460456942</x:v>
      </x:c>
      <x:c r="F50" s="23" t="b">
        <x:v>1</x:v>
      </x:c>
      <x:c r="G50" s="11" t="n">
        <x:v>116</x:v>
      </x:c>
      <x:c r="H50" s="11" t="n">
        <x:v>83</x:v>
      </x:c>
      <x:c r="I50" s="13" t="n">
        <x:v>0.020874572611121</x:v>
      </x:c>
      <x:c r="J50" s="13" t="n">
        <x:v>0.014766055861946</x:v>
      </x:c>
      <x:c r="K50" s="17" t="n">
        <x:v>-0.610851674917484</x:v>
      </x:c>
      <x:c r="L50" s="13" t="n">
        <x:v>0.060344827586207</x:v>
      </x:c>
      <x:c r="M50" s="13" t="n">
        <x:v>0.172413793103448</x:v>
      </x:c>
      <x:c r="N50" s="13" t="n">
        <x:v>0.577586206896552</x:v>
      </x:c>
      <x:c r="O50" s="13" t="n">
        <x:v>0.096385542168675</x:v>
      </x:c>
      <x:c r="P50" s="13" t="n">
        <x:v>0.192771084337349</x:v>
      </x:c>
      <x:c r="Q50" s="13" t="n">
        <x:v>0.674698795180723</x:v>
      </x:c>
      <x:c r="R50" s="15" t="n">
        <x:v>0.988453455966941</x:v>
      </x:c>
      <x:c r="S50" s="17" t="n">
        <x:v>110.2243355953214</x:v>
      </x:c>
      <x:c r="T50" s="17" t="n">
        <x:v>84.27368580199008</x:v>
      </x:c>
      <x:c r="U50" s="23" t="b">
        <x:v>0</x:v>
      </x:c>
    </x:row>
    <x:row r="51" ht="22" customHeight="1">
      <x:c r="A51" s="7" t="str">
        <x:v>V1</x:v>
      </x:c>
      <x:c r="B51" s="9" t="n">
        <x:v>1</x:v>
      </x:c>
      <x:c r="C51" s="7" t="str">
        <x:v>Ependymal</x:v>
      </x:c>
      <x:c r="D51" s="11" t="n">
        <x:v>982</x:v>
      </x:c>
      <x:c r="E51" s="22" t="n">
        <x:v>0.043145869947276</x:v>
      </x:c>
      <x:c r="F51" s="23" t="b">
        <x:v>1</x:v>
      </x:c>
      <x:c r="G51" s="11" t="n">
        <x:v>305</x:v>
      </x:c>
      <x:c r="H51" s="11" t="n">
        <x:v>266</x:v>
      </x:c>
      <x:c r="I51" s="13" t="n">
        <x:v>0.054885729710275</x:v>
      </x:c>
      <x:c r="J51" s="13" t="n">
        <x:v>0.047322540473225</x:v>
      </x:c>
      <x:c r="K51" s="17" t="n">
        <x:v>-0.756318923704992</x:v>
      </x:c>
      <x:c r="L51" s="13" t="n">
        <x:v>0.780327868852459</x:v>
      </x:c>
      <x:c r="M51" s="13" t="n">
        <x:v>0.977049180327869</x:v>
      </x:c>
      <x:c r="N51" s="13" t="n">
        <x:v>1</x:v>
      </x:c>
      <x:c r="O51" s="13" t="n">
        <x:v>0.804511278195489</x:v>
      </x:c>
      <x:c r="P51" s="13" t="n">
        <x:v>0.981203007518797</x:v>
      </x:c>
      <x:c r="Q51" s="13" t="n">
        <x:v>1</x:v>
      </x:c>
      <x:c r="R51" s="15" t="n">
        <x:v>0.996023378020184</x:v>
      </x:c>
      <x:c r="S51" s="17" t="n">
        <x:v>17.43999079685847</x:v>
      </x:c>
      <x:c r="T51" s="17" t="n">
        <x:v>15.403910337803698</x:v>
      </x:c>
      <x:c r="U51" s="23" t="b">
        <x:v>0</x:v>
      </x:c>
    </x:row>
    <x:row r="52" ht="22" customHeight="1">
      <x:c r="A52" s="7" t="str">
        <x:v>V1</x:v>
      </x:c>
      <x:c r="B52" s="9" t="n">
        <x:v>1</x:v>
      </x:c>
      <x:c r="C52" s="7" t="str">
        <x:v>Excitatory</x:v>
      </x:c>
      <x:c r="D52" s="11" t="n">
        <x:v>4700</x:v>
      </x:c>
      <x:c r="E52" s="22" t="n">
        <x:v>0.206502636203866</x:v>
      </x:c>
      <x:c r="F52" s="23" t="b">
        <x:v>0</x:v>
      </x:c>
      <x:c r="G52" s="11" t="n">
        <x:v>1087</x:v>
      </x:c>
      <x:c r="H52" s="11" t="n">
        <x:v>1108</x:v>
      </x:c>
      <x:c r="I52" s="13" t="n">
        <x:v>0.195609141623178</x:v>
      </x:c>
      <x:c r="J52" s="13" t="n">
        <x:v>0.197117950542608</x:v>
      </x:c>
      <x:c r="K52" s="17" t="n">
        <x:v>0.150880891943012</x:v>
      </x:c>
      <x:c r="L52" s="13" t="n">
        <x:v>0.544618215271389</x:v>
      </x:c>
      <x:c r="M52" s="13" t="n">
        <x:v>0.888684452621895</x:v>
      </x:c>
      <x:c r="N52" s="13" t="n">
        <x:v>0.983440662373505</x:v>
      </x:c>
      <x:c r="O52" s="13" t="n">
        <x:v>0.577617328519856</x:v>
      </x:c>
      <x:c r="P52" s="13" t="n">
        <x:v>0.911552346570397</x:v>
      </x:c>
      <x:c r="Q52" s="13" t="n">
        <x:v>0.99187725631769</x:v>
      </x:c>
      <x:c r="R52" s="15" t="n">
        <x:v>0.994655359744694</x:v>
      </x:c>
      <x:c r="S52" s="17" t="n">
        <x:v>28.12775611214577</x:v>
      </x:c>
      <x:c r="T52" s="17" t="n">
        <x:v>25.982295036216307</x:v>
      </x:c>
      <x:c r="U52" s="23" t="b">
        <x:v>0</x:v>
      </x:c>
    </x:row>
    <x:row r="53" ht="22" customHeight="1">
      <x:c r="A53" s="7" t="str">
        <x:v>V1</x:v>
      </x:c>
      <x:c r="B53" s="9" t="n">
        <x:v>1</x:v>
      </x:c>
      <x:c r="C53" s="7" t="str">
        <x:v>Inhibitory</x:v>
      </x:c>
      <x:c r="D53" s="11" t="n">
        <x:v>9839</x:v>
      </x:c>
      <x:c r="E53" s="22" t="n">
        <x:v>0.432293497363796</x:v>
      </x:c>
      <x:c r="F53" s="23" t="b">
        <x:v>0</x:v>
      </x:c>
      <x:c r="G53" s="11" t="n">
        <x:v>2530</x:v>
      </x:c>
      <x:c r="H53" s="11" t="n">
        <x:v>2476</x:v>
      </x:c>
      <x:c r="I53" s="13" t="n">
        <x:v>0.455281626777038</x:v>
      </x:c>
      <x:c r="J53" s="13" t="n">
        <x:v>0.440491015833482</x:v>
      </x:c>
      <x:c r="K53" s="17" t="n">
        <x:v>-1.479061094355638</x:v>
      </x:c>
      <x:c r="L53" s="13" t="n">
        <x:v>0.762450592885376</x:v>
      </x:c>
      <x:c r="M53" s="13" t="n">
        <x:v>0.959683794466403</x:v>
      </x:c>
      <x:c r="N53" s="13" t="n">
        <x:v>0.998418972332016</x:v>
      </x:c>
      <x:c r="O53" s="13" t="n">
        <x:v>0.850969305331179</x:v>
      </x:c>
      <x:c r="P53" s="13" t="n">
        <x:v>0.990306946688207</x:v>
      </x:c>
      <x:c r="Q53" s="13" t="n">
        <x:v>1</x:v>
      </x:c>
      <x:c r="R53" s="15" t="n">
        <x:v>0.995354735056338</x:v>
      </x:c>
      <x:c r="S53" s="17" t="n">
        <x:v>19.35529561043776</x:v>
      </x:c>
      <x:c r="T53" s="17" t="n">
        <x:v>15.747577901081794</x:v>
      </x:c>
      <x:c r="U53" s="23" t="b">
        <x:v>0</x:v>
      </x:c>
    </x:row>
    <x:row r="54" ht="22" customHeight="1">
      <x:c r="A54" s="7" t="str">
        <x:v>V1</x:v>
      </x:c>
      <x:c r="B54" s="9" t="n">
        <x:v>1</x:v>
      </x:c>
      <x:c r="C54" s="7" t="str">
        <x:v>Microglia</x:v>
      </x:c>
      <x:c r="D54" s="11" t="n">
        <x:v>486</x:v>
      </x:c>
      <x:c r="E54" s="22" t="n">
        <x:v>0.021353251318102</x:v>
      </x:c>
      <x:c r="F54" s="23" t="b">
        <x:v>1</x:v>
      </x:c>
      <x:c r="G54" s="11" t="n">
        <x:v>108</x:v>
      </x:c>
      <x:c r="H54" s="11" t="n">
        <x:v>140</x:v>
      </x:c>
      <x:c r="I54" s="13" t="n">
        <x:v>0.019434946913802</x:v>
      </x:c>
      <x:c r="J54" s="13" t="n">
        <x:v>0.024906600249066</x:v>
      </x:c>
      <x:c r="K54" s="17" t="n">
        <x:v>0.547165333526359</x:v>
      </x:c>
      <x:c r="L54" s="13" t="n">
        <x:v>0.101851851851852</x:v>
      </x:c>
      <x:c r="M54" s="13" t="n">
        <x:v>0.25</x:v>
      </x:c>
      <x:c r="N54" s="13" t="n">
        <x:v>0.675925925925926</x:v>
      </x:c>
      <x:c r="O54" s="13" t="n">
        <x:v>0.114285714285714</x:v>
      </x:c>
      <x:c r="P54" s="13" t="n">
        <x:v>0.242857142857143</x:v>
      </x:c>
      <x:c r="Q54" s="13" t="n">
        <x:v>0.557142857142857</x:v>
      </x:c>
      <x:c r="R54" s="15" t="n">
        <x:v>0.986851290178317</x:v>
      </x:c>
      <x:c r="S54" s="17" t="n">
        <x:v>85.0904985471616</x:v>
      </x:c>
      <x:c r="T54" s="17" t="n">
        <x:v>88.38428311723675</x:v>
      </x:c>
      <x:c r="U54" s="23" t="b">
        <x:v>0</x:v>
      </x:c>
    </x:row>
    <x:row r="55" ht="22" customHeight="1">
      <x:c r="A55" s="7" t="str">
        <x:v>V1</x:v>
      </x:c>
      <x:c r="B55" s="9" t="n">
        <x:v>1</x:v>
      </x:c>
      <x:c r="C55" s="7" t="str">
        <x:v>OD Immature 1</x:v>
      </x:c>
      <x:c r="D55" s="11" t="n">
        <x:v>829</x:v>
      </x:c>
      <x:c r="E55" s="22" t="n">
        <x:v>0.036423550087873</x:v>
      </x:c>
      <x:c r="F55" s="23" t="b">
        <x:v>1</x:v>
      </x:c>
      <x:c r="G55" s="11" t="n">
        <x:v>183</x:v>
      </x:c>
      <x:c r="H55" s="11" t="n">
        <x:v>200</x:v>
      </x:c>
      <x:c r="I55" s="13" t="n">
        <x:v>0.032931437826165</x:v>
      </x:c>
      <x:c r="J55" s="13" t="n">
        <x:v>0.035580857498666</x:v>
      </x:c>
      <x:c r="K55" s="17" t="n">
        <x:v>0.264941967250052</x:v>
      </x:c>
      <x:c r="L55" s="13" t="n">
        <x:v>0.098360655737705</x:v>
      </x:c>
      <x:c r="M55" s="13" t="n">
        <x:v>0.333333333333333</x:v>
      </x:c>
      <x:c r="N55" s="13" t="n">
        <x:v>0.825136612021858</x:v>
      </x:c>
      <x:c r="O55" s="13" t="n">
        <x:v>0.13</x:v>
      </x:c>
      <x:c r="P55" s="13" t="n">
        <x:v>0.36</x:v>
      </x:c>
      <x:c r="Q55" s="13" t="n">
        <x:v>0.87</x:v>
      </x:c>
      <x:c r="R55" s="15" t="n">
        <x:v>0.994001253857021</x:v>
      </x:c>
      <x:c r="S55" s="17" t="n">
        <x:v>69.82627173510657</x:v>
      </x:c>
      <x:c r="T55" s="17" t="n">
        <x:v>65.87110400985381</x:v>
      </x:c>
      <x:c r="U55" s="23" t="b">
        <x:v>0</x:v>
      </x:c>
    </x:row>
    <x:row r="56" ht="22" customHeight="1">
      <x:c r="A56" s="7" t="str">
        <x:v>V1</x:v>
      </x:c>
      <x:c r="B56" s="9" t="n">
        <x:v>1</x:v>
      </x:c>
      <x:c r="C56" s="7" t="str">
        <x:v>OD Immature 2</x:v>
      </x:c>
      <x:c r="D56" s="11" t="n">
        <x:v>28</x:v>
      </x:c>
      <x:c r="E56" s="22" t="n">
        <x:v>0.001230228471002</x:v>
      </x:c>
      <x:c r="F56" s="23" t="b">
        <x:v>1</x:v>
      </x:c>
      <x:c r="G56" s="11" t="n">
        <x:v>5</x:v>
      </x:c>
      <x:c r="H56" s="11" t="n">
        <x:v>6</x:v>
      </x:c>
      <x:c r="I56" s="13" t="n">
        <x:v>0.000899766060824</x:v>
      </x:c>
      <x:c r="J56" s="13" t="n">
        <x:v>0.00106742572496</x:v>
      </x:c>
      <x:c r="K56" s="17" t="n">
        <x:v>0.016765966413579</x:v>
      </x:c>
      <x:c r="L56" s="13" t="n">
        <x:v>0</x:v>
      </x:c>
      <x:c r="M56" s="13" t="n">
        <x:v>0</x:v>
      </x:c>
      <x:c r="N56" s="13" t="n">
        <x:v>0</x:v>
      </x:c>
      <x:c r="O56" s="13" t="n">
        <x:v>0</x:v>
      </x:c>
      <x:c r="P56" s="13" t="n">
        <x:v>0</x:v>
      </x:c>
      <x:c r="Q56" s="13" t="n">
        <x:v>0</x:v>
      </x:c>
      <x:c r="R56" s="15" t="n">
        <x:v>0.53380058852985</x:v>
      </x:c>
      <x:c r="S56" s="17" t="n">
        <x:v>452.3107247651643</x:v>
      </x:c>
      <x:c r="T56" s="17" t="n">
        <x:v>197.2784843705652</x:v>
      </x:c>
      <x:c r="U56" s="23" t="b">
        <x:v>0</x:v>
      </x:c>
    </x:row>
    <x:row r="57" ht="22" customHeight="1">
      <x:c r="A57" s="7" t="str">
        <x:v>V1</x:v>
      </x:c>
      <x:c r="B57" s="9" t="n">
        <x:v>1</x:v>
      </x:c>
      <x:c r="C57" s="7" t="str">
        <x:v>OD Mature 1</x:v>
      </x:c>
      <x:c r="D57" s="11" t="n">
        <x:v>209</x:v>
      </x:c>
      <x:c r="E57" s="22" t="n">
        <x:v>0.009182776801406</x:v>
      </x:c>
      <x:c r="F57" s="23" t="b">
        <x:v>1</x:v>
      </x:c>
      <x:c r="G57" s="11" t="n">
        <x:v>29</x:v>
      </x:c>
      <x:c r="H57" s="11" t="n">
        <x:v>61</x:v>
      </x:c>
      <x:c r="I57" s="13" t="n">
        <x:v>0.00521864315278</x:v>
      </x:c>
      <x:c r="J57" s="13" t="n">
        <x:v>0.010852161537093</x:v>
      </x:c>
      <x:c r="K57" s="17" t="n">
        <x:v>0.563351838431277</x:v>
      </x:c>
      <x:c r="L57" s="13" t="n">
        <x:v>0.03448275862069</x:v>
      </x:c>
      <x:c r="M57" s="13" t="n">
        <x:v>0.206896551724138</x:v>
      </x:c>
      <x:c r="N57" s="13" t="n">
        <x:v>0.551724137931034</x:v>
      </x:c>
      <x:c r="O57" s="13" t="n">
        <x:v>0.016393442622951</x:v>
      </x:c>
      <x:c r="P57" s="13" t="n">
        <x:v>0.131147540983607</x:v>
      </x:c>
      <x:c r="Q57" s="13" t="n">
        <x:v>0.39344262295082</x:v>
      </x:c>
      <x:c r="R57" s="15" t="n">
        <x:v>0.983609629915298</x:v>
      </x:c>
      <x:c r="S57" s="17" t="n">
        <x:v>93.40980392829512</x:v>
      </x:c>
      <x:c r="T57" s="17" t="n">
        <x:v>127.1090523292088</x:v>
      </x:c>
      <x:c r="U57" s="23" t="b">
        <x:v>0</x:v>
      </x:c>
    </x:row>
    <x:row r="58" ht="22" customHeight="1">
      <x:c r="A58" s="7" t="str">
        <x:v>V1</x:v>
      </x:c>
      <x:c r="B58" s="9" t="n">
        <x:v>1</x:v>
      </x:c>
      <x:c r="C58" s="7" t="str">
        <x:v>OD Mature 2</x:v>
      </x:c>
      <x:c r="D58" s="11" t="n">
        <x:v>956</x:v>
      </x:c>
      <x:c r="E58" s="22" t="n">
        <x:v>0.042003514938488</x:v>
      </x:c>
      <x:c r="F58" s="23" t="b">
        <x:v>1</x:v>
      </x:c>
      <x:c r="G58" s="11" t="n">
        <x:v>197</x:v>
      </x:c>
      <x:c r="H58" s="11" t="n">
        <x:v>234</x:v>
      </x:c>
      <x:c r="I58" s="13" t="n">
        <x:v>0.035450782796473</x:v>
      </x:c>
      <x:c r="J58" s="13" t="n">
        <x:v>0.041629603273439</x:v>
      </x:c>
      <x:c r="K58" s="17" t="n">
        <x:v>0.617882047696598</x:v>
      </x:c>
      <x:c r="L58" s="13" t="n">
        <x:v>0.33502538071066</x:v>
      </x:c>
      <x:c r="M58" s="13" t="n">
        <x:v>0.619289340101523</x:v>
      </x:c>
      <x:c r="N58" s="13" t="n">
        <x:v>0.852791878172589</x:v>
      </x:c>
      <x:c r="O58" s="13" t="n">
        <x:v>0.307692307692308</x:v>
      </x:c>
      <x:c r="P58" s="13" t="n">
        <x:v>0.555555555555556</x:v>
      </x:c>
      <x:c r="Q58" s="13" t="n">
        <x:v>0.794871794871795</x:v>
      </x:c>
      <x:c r="R58" s="15" t="n">
        <x:v>0.997569252717922</x:v>
      </x:c>
      <x:c r="S58" s="17" t="n">
        <x:v>52.495321756767005</x:v>
      </x:c>
      <x:c r="T58" s="17" t="n">
        <x:v>59.41578203441109</x:v>
      </x:c>
      <x:c r="U58" s="23" t="b">
        <x:v>0</x:v>
      </x:c>
    </x:row>
    <x:row r="59" ht="22" customHeight="1">
      <x:c r="A59" s="7" t="str">
        <x:v>V1</x:v>
      </x:c>
      <x:c r="B59" s="9" t="n">
        <x:v>1</x:v>
      </x:c>
      <x:c r="C59" s="7" t="str">
        <x:v>OD Mature 3</x:v>
      </x:c>
      <x:c r="D59" s="11" t="n">
        <x:v>11</x:v>
      </x:c>
      <x:c r="E59" s="22" t="n">
        <x:v>0.000483304042179</x:v>
      </x:c>
      <x:c r="F59" s="23" t="b">
        <x:v>1</x:v>
      </x:c>
      <x:c r="G59" s="11" t="n">
        <x:v>3</x:v>
      </x:c>
      <x:c r="H59" s="11" t="n">
        <x:v>0</x:v>
      </x:c>
      <x:c r="I59" s="13" t="n">
        <x:v>0.000539859636494</x:v>
      </x:c>
      <x:c r="J59" s="13" t="n">
        <x:v>0</x:v>
      </x:c>
      <x:c r="K59" s="17" t="n">
        <x:v>-0.053985963649451</x:v>
      </x:c>
      <x:c r="L59" s="13" t="n">
        <x:v>0</x:v>
      </x:c>
      <x:c r="M59" s="13" t="n">
        <x:v>0</x:v>
      </x:c>
      <x:c r="N59" s="13" t="n">
        <x:v>0</x:v>
      </x:c>
      <x:c r="O59" s="13" t="str">
        <x:v>n.a.</x:v>
      </x:c>
      <x:c r="P59" s="13" t="str">
        <x:v>n.a.</x:v>
      </x:c>
      <x:c r="Q59" s="13" t="str">
        <x:v>n.a.</x:v>
      </x:c>
      <x:c r="R59" s="15" t="str">
        <x:v>n.a.</x:v>
      </x:c>
      <x:c r="S59" s="17" t="str">
        <x:v>n.a.</x:v>
      </x:c>
      <x:c r="T59" s="17" t="str">
        <x:v>n.a.</x:v>
      </x:c>
      <x:c r="U59" s="23" t="b">
        <x:v>1</x:v>
      </x:c>
    </x:row>
    <x:row r="60" ht="22" customHeight="1">
      <x:c r="A60" s="7" t="str">
        <x:v>V1</x:v>
      </x:c>
      <x:c r="B60" s="9" t="n">
        <x:v>1</x:v>
      </x:c>
      <x:c r="C60" s="7" t="str">
        <x:v>OD Mature 4</x:v>
      </x:c>
      <x:c r="D60" s="11" t="n">
        <x:v>36</x:v>
      </x:c>
      <x:c r="E60" s="22" t="n">
        <x:v>0.001581722319859</x:v>
      </x:c>
      <x:c r="F60" s="23" t="b">
        <x:v>1</x:v>
      </x:c>
      <x:c r="G60" s="11" t="n">
        <x:v>11</x:v>
      </x:c>
      <x:c r="H60" s="11" t="n">
        <x:v>8</x:v>
      </x:c>
      <x:c r="I60" s="13" t="n">
        <x:v>0.001979485333813</x:v>
      </x:c>
      <x:c r="J60" s="13" t="n">
        <x:v>0.001423234299947</x:v>
      </x:c>
      <x:c r="K60" s="17" t="n">
        <x:v>-0.055625103386658</x:v>
      </x:c>
      <x:c r="L60" s="13" t="n">
        <x:v>0</x:v>
      </x:c>
      <x:c r="M60" s="13" t="n">
        <x:v>0</x:v>
      </x:c>
      <x:c r="N60" s="13" t="n">
        <x:v>0.090909090909091</x:v>
      </x:c>
      <x:c r="O60" s="13" t="n">
        <x:v>0</x:v>
      </x:c>
      <x:c r="P60" s="13" t="n">
        <x:v>0</x:v>
      </x:c>
      <x:c r="Q60" s="13" t="n">
        <x:v>0.25</x:v>
      </x:c>
      <x:c r="R60" s="15" t="n">
        <x:v>0.869031361246612</x:v>
      </x:c>
      <x:c r="S60" s="17" t="n">
        <x:v>346.8640570645984</x:v>
      </x:c>
      <x:c r="T60" s="17" t="n">
        <x:v>214.42171816154396</x:v>
      </x:c>
      <x:c r="U60" s="23" t="b">
        <x:v>0</x:v>
      </x:c>
    </x:row>
    <x:row r="61" ht="22" customHeight="1">
      <x:c r="A61" s="7" t="str">
        <x:v>V1</x:v>
      </x:c>
      <x:c r="B61" s="9" t="n">
        <x:v>1</x:v>
      </x:c>
      <x:c r="C61" s="7" t="str">
        <x:v>Pericytes</x:v>
      </x:c>
      <x:c r="D61" s="11" t="n">
        <x:v>167</x:v>
      </x:c>
      <x:c r="E61" s="22" t="n">
        <x:v>0.007337434094903</x:v>
      </x:c>
      <x:c r="F61" s="23" t="b">
        <x:v>1</x:v>
      </x:c>
      <x:c r="G61" s="11" t="n">
        <x:v>37</x:v>
      </x:c>
      <x:c r="H61" s="11" t="n">
        <x:v>34</x:v>
      </x:c>
      <x:c r="I61" s="13" t="n">
        <x:v>0.006658268850099</x:v>
      </x:c>
      <x:c r="J61" s="13" t="n">
        <x:v>0.006048745774773</x:v>
      </x:c>
      <x:c r="K61" s="17" t="n">
        <x:v>-0.06095230753258</x:v>
      </x:c>
      <x:c r="L61" s="13" t="n">
        <x:v>0</x:v>
      </x:c>
      <x:c r="M61" s="13" t="n">
        <x:v>0.081081081081081</x:v>
      </x:c>
      <x:c r="N61" s="13" t="n">
        <x:v>0.243243243243243</x:v>
      </x:c>
      <x:c r="O61" s="13" t="n">
        <x:v>0</x:v>
      </x:c>
      <x:c r="P61" s="13" t="n">
        <x:v>0.117647058823529</x:v>
      </x:c>
      <x:c r="Q61" s="13" t="n">
        <x:v>0.529411764705882</x:v>
      </x:c>
      <x:c r="R61" s="15" t="n">
        <x:v>0.980641787891956</x:v>
      </x:c>
      <x:c r="S61" s="17" t="n">
        <x:v>159.536149201392</x:v>
      </x:c>
      <x:c r="T61" s="17" t="n">
        <x:v>115.54112926622064</x:v>
      </x:c>
      <x:c r="U61" s="23" t="b">
        <x:v>0</x:v>
      </x:c>
    </x:row>
    <x:row r="62" ht="22" customHeight="1">
      <x:c r="A62" s="7" t="str">
        <x:v>V1</x:v>
      </x:c>
      <x:c r="B62" s="9" t="n">
        <x:v>2</x:v>
      </x:c>
      <x:c r="C62" s="7" t="str">
        <x:v>Astrocyte</x:v>
      </x:c>
      <x:c r="D62" s="11" t="n">
        <x:v>2738</x:v>
      </x:c>
      <x:c r="E62" s="22" t="n">
        <x:v>0.122281273726051</x:v>
      </x:c>
      <x:c r="F62" s="23" t="b">
        <x:v>0</x:v>
      </x:c>
      <x:c r="G62" s="11" t="n">
        <x:v>668</x:v>
      </x:c>
      <x:c r="H62" s="11" t="n">
        <x:v>660</x:v>
      </x:c>
      <x:c r="I62" s="13" t="n">
        <x:v>0.112723590955113</x:v>
      </x:c>
      <x:c r="J62" s="13" t="n">
        <x:v>0.1171875</x:v>
      </x:c>
      <x:c r="K62" s="17" t="n">
        <x:v>0.446390904488694</x:v>
      </x:c>
      <x:c r="L62" s="13" t="n">
        <x:v>0.312874251497006</x:v>
      </x:c>
      <x:c r="M62" s="13" t="n">
        <x:v>0.687125748502994</x:v>
      </x:c>
      <x:c r="N62" s="13" t="n">
        <x:v>0.958083832335329</x:v>
      </x:c>
      <x:c r="O62" s="13" t="n">
        <x:v>0.375757575757576</x:v>
      </x:c>
      <x:c r="P62" s="13" t="n">
        <x:v>0.842424242424242</x:v>
      </x:c>
      <x:c r="Q62" s="13" t="n">
        <x:v>0.998484848484848</x:v>
      </x:c>
      <x:c r="R62" s="15" t="n">
        <x:v>0.995332414684489</x:v>
      </x:c>
      <x:c r="S62" s="17" t="n">
        <x:v>42.28253691736786</x:v>
      </x:c>
      <x:c r="T62" s="17" t="n">
        <x:v>33.32000077392491</x:v>
      </x:c>
      <x:c r="U62" s="23" t="b">
        <x:v>0</x:v>
      </x:c>
    </x:row>
    <x:row r="63" ht="22" customHeight="1">
      <x:c r="A63" s="7" t="str">
        <x:v>V1</x:v>
      </x:c>
      <x:c r="B63" s="9" t="n">
        <x:v>2</x:v>
      </x:c>
      <x:c r="C63" s="7" t="str">
        <x:v>Endothelial 1</x:v>
      </x:c>
      <x:c r="D63" s="11" t="n">
        <x:v>1190</x:v>
      </x:c>
      <x:c r="E63" s="22" t="n">
        <x:v>0.053146353445581</x:v>
      </x:c>
      <x:c r="F63" s="23" t="b">
        <x:v>0</x:v>
      </x:c>
      <x:c r="G63" s="11" t="n">
        <x:v>290</x:v>
      </x:c>
      <x:c r="H63" s="11" t="n">
        <x:v>288</x:v>
      </x:c>
      <x:c r="I63" s="13" t="n">
        <x:v>0.048936888288896</x:v>
      </x:c>
      <x:c r="J63" s="13" t="n">
        <x:v>0.051136363636364</x:v>
      </x:c>
      <x:c r="K63" s="17" t="n">
        <x:v>0.219947534746725</x:v>
      </x:c>
      <x:c r="L63" s="13" t="n">
        <x:v>0.155172413793103</x:v>
      </x:c>
      <x:c r="M63" s="13" t="n">
        <x:v>0.396551724137931</x:v>
      </x:c>
      <x:c r="N63" s="13" t="n">
        <x:v>0.824137931034483</x:v>
      </x:c>
      <x:c r="O63" s="13" t="n">
        <x:v>0.222222222222222</x:v>
      </x:c>
      <x:c r="P63" s="13" t="n">
        <x:v>0.559027777777778</x:v>
      </x:c>
      <x:c r="Q63" s="13" t="n">
        <x:v>0.920138888888889</x:v>
      </x:c>
      <x:c r="R63" s="15" t="n">
        <x:v>0.996476809587632</x:v>
      </x:c>
      <x:c r="S63" s="17" t="n">
        <x:v>66.87319402960195</x:v>
      </x:c>
      <x:c r="T63" s="17" t="n">
        <x:v>50.89818040015323</x:v>
      </x:c>
      <x:c r="U63" s="23" t="b">
        <x:v>0</x:v>
      </x:c>
    </x:row>
    <x:row r="64" ht="22" customHeight="1">
      <x:c r="A64" s="7" t="str">
        <x:v>V1</x:v>
      </x:c>
      <x:c r="B64" s="9" t="n">
        <x:v>2</x:v>
      </x:c>
      <x:c r="C64" s="7" t="str">
        <x:v>Endothelial 2</x:v>
      </x:c>
      <x:c r="D64" s="11" t="n">
        <x:v>127</x:v>
      </x:c>
      <x:c r="E64" s="22" t="n">
        <x:v>0.005671921754276</x:v>
      </x:c>
      <x:c r="F64" s="23" t="b">
        <x:v>1</x:v>
      </x:c>
      <x:c r="G64" s="11" t="n">
        <x:v>17</x:v>
      </x:c>
      <x:c r="H64" s="11" t="n">
        <x:v>27</x:v>
      </x:c>
      <x:c r="I64" s="13" t="n">
        <x:v>0.002868714141073</x:v>
      </x:c>
      <x:c r="J64" s="13" t="n">
        <x:v>0.004794034090909</x:v>
      </x:c>
      <x:c r="K64" s="17" t="n">
        <x:v>0.192531994983585</x:v>
      </x:c>
      <x:c r="L64" s="13" t="n">
        <x:v>0</x:v>
      </x:c>
      <x:c r="M64" s="13" t="n">
        <x:v>0</x:v>
      </x:c>
      <x:c r="N64" s="13" t="n">
        <x:v>0.117647058823529</x:v>
      </x:c>
      <x:c r="O64" s="13" t="n">
        <x:v>0</x:v>
      </x:c>
      <x:c r="P64" s="13" t="n">
        <x:v>0</x:v>
      </x:c>
      <x:c r="Q64" s="13" t="n">
        <x:v>0.074074074074074</x:v>
      </x:c>
      <x:c r="R64" s="15" t="n">
        <x:v>0.917583202388017</x:v>
      </x:c>
      <x:c r="S64" s="17" t="n">
        <x:v>280.365904325875</x:v>
      </x:c>
      <x:c r="T64" s="17" t="n">
        <x:v>278.1833266340621</x:v>
      </x:c>
      <x:c r="U64" s="23" t="b">
        <x:v>0</x:v>
      </x:c>
    </x:row>
    <x:row r="65" ht="22" customHeight="1">
      <x:c r="A65" s="7" t="str">
        <x:v>V1</x:v>
      </x:c>
      <x:c r="B65" s="9" t="n">
        <x:v>2</x:v>
      </x:c>
      <x:c r="C65" s="7" t="str">
        <x:v>Endothelial 3</x:v>
      </x:c>
      <x:c r="D65" s="11" t="n">
        <x:v>442</x:v>
      </x:c>
      <x:c r="E65" s="22" t="n">
        <x:v>0.01974007413693</x:v>
      </x:c>
      <x:c r="F65" s="23" t="b">
        <x:v>1</x:v>
      </x:c>
      <x:c r="G65" s="11" t="n">
        <x:v>107</x:v>
      </x:c>
      <x:c r="H65" s="11" t="n">
        <x:v>98</x:v>
      </x:c>
      <x:c r="I65" s="13" t="n">
        <x:v>0.018056024299696</x:v>
      </x:c>
      <x:c r="J65" s="13" t="n">
        <x:v>0.017400568181818</x:v>
      </x:c>
      <x:c r="K65" s="17" t="n">
        <x:v>-0.065545611787807</x:v>
      </x:c>
      <x:c r="L65" s="13" t="n">
        <x:v>0.046728971962617</x:v>
      </x:c>
      <x:c r="M65" s="13" t="n">
        <x:v>0.16822429906542</x:v>
      </x:c>
      <x:c r="N65" s="13" t="n">
        <x:v>0.532710280373832</x:v>
      </x:c>
      <x:c r="O65" s="13" t="n">
        <x:v>0.061224489795918</x:v>
      </x:c>
      <x:c r="P65" s="13" t="n">
        <x:v>0.224489795918367</x:v>
      </x:c>
      <x:c r="Q65" s="13" t="n">
        <x:v>0.683673469387755</x:v>
      </x:c>
      <x:c r="R65" s="15" t="n">
        <x:v>0.989305533967081</x:v>
      </x:c>
      <x:c r="S65" s="17" t="n">
        <x:v>105.87886298341748</x:v>
      </x:c>
      <x:c r="T65" s="17" t="n">
        <x:v>84.21697225134012</x:v>
      </x:c>
      <x:c r="U65" s="23" t="b">
        <x:v>0</x:v>
      </x:c>
    </x:row>
    <x:row r="66" ht="22" customHeight="1">
      <x:c r="A66" s="7" t="str">
        <x:v>V1</x:v>
      </x:c>
      <x:c r="B66" s="9" t="n">
        <x:v>2</x:v>
      </x:c>
      <x:c r="C66" s="7" t="str">
        <x:v>Ependymal</x:v>
      </x:c>
      <x:c r="D66" s="11" t="n">
        <x:v>1014</x:v>
      </x:c>
      <x:c r="E66" s="22" t="n">
        <x:v>0.045286052431781</x:v>
      </x:c>
      <x:c r="F66" s="23" t="b">
        <x:v>1</x:v>
      </x:c>
      <x:c r="G66" s="11" t="n">
        <x:v>273</x:v>
      </x:c>
      <x:c r="H66" s="11" t="n">
        <x:v>282</x:v>
      </x:c>
      <x:c r="I66" s="13" t="n">
        <x:v>0.046068174147823</x:v>
      </x:c>
      <x:c r="J66" s="13" t="n">
        <x:v>0.050071022727273</x:v>
      </x:c>
      <x:c r="K66" s="17" t="n">
        <x:v>0.400284857944958</x:v>
      </x:c>
      <x:c r="L66" s="13" t="n">
        <x:v>0.860805860805861</x:v>
      </x:c>
      <x:c r="M66" s="13" t="n">
        <x:v>0.956043956043956</x:v>
      </x:c>
      <x:c r="N66" s="13" t="n">
        <x:v>0.992673992673993</x:v>
      </x:c>
      <x:c r="O66" s="13" t="n">
        <x:v>0.804964539007092</x:v>
      </x:c>
      <x:c r="P66" s="13" t="n">
        <x:v>0.975177304964539</x:v>
      </x:c>
      <x:c r="Q66" s="13" t="n">
        <x:v>1</x:v>
      </x:c>
      <x:c r="R66" s="15" t="n">
        <x:v>0.995092293544303</x:v>
      </x:c>
      <x:c r="S66" s="17" t="n">
        <x:v>16.16230166309412</x:v>
      </x:c>
      <x:c r="T66" s="17" t="n">
        <x:v>15.372444371943766</x:v>
      </x:c>
      <x:c r="U66" s="23" t="b">
        <x:v>0</x:v>
      </x:c>
    </x:row>
    <x:row r="67" ht="22" customHeight="1">
      <x:c r="A67" s="7" t="str">
        <x:v>V1</x:v>
      </x:c>
      <x:c r="B67" s="9" t="n">
        <x:v>2</x:v>
      </x:c>
      <x:c r="C67" s="7" t="str">
        <x:v>Excitatory</x:v>
      </x:c>
      <x:c r="D67" s="11" t="n">
        <x:v>4575</x:v>
      </x:c>
      <x:c r="E67" s="22" t="n">
        <x:v>0.20432316555759</x:v>
      </x:c>
      <x:c r="F67" s="23" t="b">
        <x:v>0</x:v>
      </x:c>
      <x:c r="G67" s="11" t="n">
        <x:v>1212</x:v>
      </x:c>
      <x:c r="H67" s="11" t="n">
        <x:v>1117</x:v>
      </x:c>
      <x:c r="I67" s="13" t="n">
        <x:v>0.204522443469457</x:v>
      </x:c>
      <x:c r="J67" s="13" t="n">
        <x:v>0.198330965909091</x:v>
      </x:c>
      <x:c r="K67" s="17" t="n">
        <x:v>-0.619147756036573</x:v>
      </x:c>
      <x:c r="L67" s="13" t="n">
        <x:v>0.5</x:v>
      </x:c>
      <x:c r="M67" s="13" t="n">
        <x:v>0.855610561056106</x:v>
      </x:c>
      <x:c r="N67" s="13" t="n">
        <x:v>0.989273927392739</x:v>
      </x:c>
      <x:c r="O67" s="13" t="n">
        <x:v>0.585496866606983</x:v>
      </x:c>
      <x:c r="P67" s="13" t="n">
        <x:v>0.937332139659803</x:v>
      </x:c>
      <x:c r="Q67" s="13" t="n">
        <x:v>0.999104744852283</x:v>
      </x:c>
      <x:c r="R67" s="15" t="n">
        <x:v>0.995220573642498</x:v>
      </x:c>
      <x:c r="S67" s="17" t="n">
        <x:v>30.20198613780813</x:v>
      </x:c>
      <x:c r="T67" s="17" t="n">
        <x:v>24.456116177467536</x:v>
      </x:c>
      <x:c r="U67" s="23" t="b">
        <x:v>0</x:v>
      </x:c>
    </x:row>
    <x:row r="68" ht="22" customHeight="1">
      <x:c r="A68" s="7" t="str">
        <x:v>V1</x:v>
      </x:c>
      <x:c r="B68" s="9" t="n">
        <x:v>2</x:v>
      </x:c>
      <x:c r="C68" s="7" t="str">
        <x:v>Inhibitory</x:v>
      </x:c>
      <x:c r="D68" s="11" t="n">
        <x:v>9639</x:v>
      </x:c>
      <x:c r="E68" s="22" t="n">
        <x:v>0.430485462909205</x:v>
      </x:c>
      <x:c r="F68" s="23" t="b">
        <x:v>0</x:v>
      </x:c>
      <x:c r="G68" s="11" t="n">
        <x:v>2730</x:v>
      </x:c>
      <x:c r="H68" s="11" t="n">
        <x:v>2573</x:v>
      </x:c>
      <x:c r="I68" s="13" t="n">
        <x:v>0.460681741478232</x:v>
      </x:c>
      <x:c r="J68" s="13" t="n">
        <x:v>0.456853693181818</x:v>
      </x:c>
      <x:c r="K68" s="17" t="n">
        <x:v>-0.382804829641337</x:v>
      </x:c>
      <x:c r="L68" s="13" t="n">
        <x:v>0.757142857142857</x:v>
      </x:c>
      <x:c r="M68" s="13" t="n">
        <x:v>0.944688644688645</x:v>
      </x:c>
      <x:c r="N68" s="13" t="n">
        <x:v>0.991575091575092</x:v>
      </x:c>
      <x:c r="O68" s="13" t="n">
        <x:v>0.88495919160513</x:v>
      </x:c>
      <x:c r="P68" s="13" t="n">
        <x:v>0.991449669646327</x:v>
      </x:c>
      <x:c r="Q68" s="13" t="n">
        <x:v>0.997668091721726</x:v>
      </x:c>
      <x:c r="R68" s="15" t="n">
        <x:v>0.99698822430777</x:v>
      </x:c>
      <x:c r="S68" s="17" t="n">
        <x:v>20.446744854642816</x:v>
      </x:c>
      <x:c r="T68" s="17" t="n">
        <x:v>15.162563692089064</x:v>
      </x:c>
      <x:c r="U68" s="23" t="b">
        <x:v>0</x:v>
      </x:c>
    </x:row>
    <x:row r="69" ht="22" customHeight="1">
      <x:c r="A69" s="7" t="str">
        <x:v>V1</x:v>
      </x:c>
      <x:c r="B69" s="9" t="n">
        <x:v>2</x:v>
      </x:c>
      <x:c r="C69" s="7" t="str">
        <x:v>Microglia</x:v>
      </x:c>
      <x:c r="D69" s="11" t="n">
        <x:v>454</x:v>
      </x:c>
      <x:c r="E69" s="22" t="n">
        <x:v>0.020276003751507</x:v>
      </x:c>
      <x:c r="F69" s="23" t="b">
        <x:v>1</x:v>
      </x:c>
      <x:c r="G69" s="11" t="n">
        <x:v>140</x:v>
      </x:c>
      <x:c r="H69" s="11" t="n">
        <x:v>133</x:v>
      </x:c>
      <x:c r="I69" s="13" t="n">
        <x:v>0.023624704691191</x:v>
      </x:c>
      <x:c r="J69" s="13" t="n">
        <x:v>0.023615056818182</x:v>
      </x:c>
      <x:c r="K69" s="17" t="n">
        <x:v>-0.000964787300954</x:v>
      </x:c>
      <x:c r="L69" s="13" t="n">
        <x:v>0.064285714285714</x:v>
      </x:c>
      <x:c r="M69" s="13" t="n">
        <x:v>0.25</x:v>
      </x:c>
      <x:c r="N69" s="13" t="n">
        <x:v>0.607142857142857</x:v>
      </x:c>
      <x:c r="O69" s="13" t="n">
        <x:v>0.075187969924812</x:v>
      </x:c>
      <x:c r="P69" s="13" t="n">
        <x:v>0.383458646616541</x:v>
      </x:c>
      <x:c r="Q69" s="13" t="n">
        <x:v>0.75187969924812</x:v>
      </x:c>
      <x:c r="R69" s="15" t="n">
        <x:v>0.987900132034462</x:v>
      </x:c>
      <x:c r="S69" s="17" t="n">
        <x:v>91.28577568679404</x:v>
      </x:c>
      <x:c r="T69" s="17" t="n">
        <x:v>75.12347882567938</x:v>
      </x:c>
      <x:c r="U69" s="23" t="b">
        <x:v>0</x:v>
      </x:c>
    </x:row>
    <x:row r="70" ht="22" customHeight="1">
      <x:c r="A70" s="7" t="str">
        <x:v>V1</x:v>
      </x:c>
      <x:c r="B70" s="9" t="n">
        <x:v>2</x:v>
      </x:c>
      <x:c r="C70" s="7" t="str">
        <x:v>OD Immature 1</x:v>
      </x:c>
      <x:c r="D70" s="11" t="n">
        <x:v>826</x:v>
      </x:c>
      <x:c r="E70" s="22" t="n">
        <x:v>0.036889821803403</x:v>
      </x:c>
      <x:c r="F70" s="23" t="b">
        <x:v>1</x:v>
      </x:c>
      <x:c r="G70" s="11" t="n">
        <x:v>186</x:v>
      </x:c>
      <x:c r="H70" s="11" t="n">
        <x:v>163</x:v>
      </x:c>
      <x:c r="I70" s="13" t="n">
        <x:v>0.031387107661154</x:v>
      </x:c>
      <x:c r="J70" s="13" t="n">
        <x:v>0.028941761363636</x:v>
      </x:c>
      <x:c r="K70" s="17" t="n">
        <x:v>-0.244534629751787</x:v>
      </x:c>
      <x:c r="L70" s="13" t="n">
        <x:v>0.096774193548387</x:v>
      </x:c>
      <x:c r="M70" s="13" t="n">
        <x:v>0.306451612903226</x:v>
      </x:c>
      <x:c r="N70" s="13" t="n">
        <x:v>0.725806451612903</x:v>
      </x:c>
      <x:c r="O70" s="13" t="n">
        <x:v>0.116564417177914</x:v>
      </x:c>
      <x:c r="P70" s="13" t="n">
        <x:v>0.423312883435583</x:v>
      </x:c>
      <x:c r="Q70" s="13" t="n">
        <x:v>0.895705521472393</x:v>
      </x:c>
      <x:c r="R70" s="15" t="n">
        <x:v>0.992739369631504</x:v>
      </x:c>
      <x:c r="S70" s="17" t="n">
        <x:v>77.79904409586224</x:v>
      </x:c>
      <x:c r="T70" s="17" t="n">
        <x:v>61.25549085511107</x:v>
      </x:c>
      <x:c r="U70" s="23" t="b">
        <x:v>0</x:v>
      </x:c>
    </x:row>
    <x:row r="71" ht="22" customHeight="1">
      <x:c r="A71" s="7" t="str">
        <x:v>V1</x:v>
      </x:c>
      <x:c r="B71" s="9" t="n">
        <x:v>2</x:v>
      </x:c>
      <x:c r="C71" s="7" t="str">
        <x:v>OD Immature 2</x:v>
      </x:c>
      <x:c r="D71" s="11" t="n">
        <x:v>28</x:v>
      </x:c>
      <x:c r="E71" s="22" t="n">
        <x:v>0.001250502434014</x:v>
      </x:c>
      <x:c r="F71" s="23" t="b">
        <x:v>1</x:v>
      </x:c>
      <x:c r="G71" s="11" t="n">
        <x:v>5</x:v>
      </x:c>
      <x:c r="H71" s="11" t="n">
        <x:v>6</x:v>
      </x:c>
      <x:c r="I71" s="13" t="n">
        <x:v>0.000843739453257</x:v>
      </x:c>
      <x:c r="J71" s="13" t="n">
        <x:v>0.001065340909091</x:v>
      </x:c>
      <x:c r="K71" s="17" t="n">
        <x:v>0.022160145583407</x:v>
      </x:c>
      <x:c r="L71" s="13" t="n">
        <x:v>0</x:v>
      </x:c>
      <x:c r="M71" s="13" t="n">
        <x:v>0</x:v>
      </x:c>
      <x:c r="N71" s="13" t="n">
        <x:v>0</x:v>
      </x:c>
      <x:c r="O71" s="13" t="n">
        <x:v>0</x:v>
      </x:c>
      <x:c r="P71" s="13" t="n">
        <x:v>0</x:v>
      </x:c>
      <x:c r="Q71" s="13" t="n">
        <x:v>0</x:v>
      </x:c>
      <x:c r="R71" s="15" t="n">
        <x:v>0.65648515418576</x:v>
      </x:c>
      <x:c r="S71" s="17" t="n">
        <x:v>597.9378961492465</x:v>
      </x:c>
      <x:c r="T71" s="17" t="n">
        <x:v>510.2234608231837</x:v>
      </x:c>
      <x:c r="U71" s="23" t="b">
        <x:v>0</x:v>
      </x:c>
    </x:row>
    <x:row r="72" ht="22" customHeight="1">
      <x:c r="A72" s="7" t="str">
        <x:v>V1</x:v>
      </x:c>
      <x:c r="B72" s="9" t="n">
        <x:v>2</x:v>
      </x:c>
      <x:c r="C72" s="7" t="str">
        <x:v>OD Mature 1</x:v>
      </x:c>
      <x:c r="D72" s="11" t="n">
        <x:v>195</x:v>
      </x:c>
      <x:c r="E72" s="22" t="n">
        <x:v>0.008708856236881</x:v>
      </x:c>
      <x:c r="F72" s="23" t="b">
        <x:v>1</x:v>
      </x:c>
      <x:c r="G72" s="11" t="n">
        <x:v>43</x:v>
      </x:c>
      <x:c r="H72" s="11" t="n">
        <x:v>34</x:v>
      </x:c>
      <x:c r="I72" s="13" t="n">
        <x:v>0.007256159298009</x:v>
      </x:c>
      <x:c r="J72" s="13" t="n">
        <x:v>0.006036931818182</x:v>
      </x:c>
      <x:c r="K72" s="17" t="n">
        <x:v>-0.121922747982696</x:v>
      </x:c>
      <x:c r="L72" s="13" t="n">
        <x:v>0</x:v>
      </x:c>
      <x:c r="M72" s="13" t="n">
        <x:v>0.162790697674419</x:v>
      </x:c>
      <x:c r="N72" s="13" t="n">
        <x:v>0.441860465116279</x:v>
      </x:c>
      <x:c r="O72" s="13" t="n">
        <x:v>0</x:v>
      </x:c>
      <x:c r="P72" s="13" t="n">
        <x:v>0.294117647058824</x:v>
      </x:c>
      <x:c r="Q72" s="13" t="n">
        <x:v>0.676470588235294</x:v>
      </x:c>
      <x:c r="R72" s="15" t="n">
        <x:v>0.980242088918931</x:v>
      </x:c>
      <x:c r="S72" s="17" t="n">
        <x:v>144.87708500616404</x:v>
      </x:c>
      <x:c r="T72" s="17" t="n">
        <x:v>89.06286023071442</x:v>
      </x:c>
      <x:c r="U72" s="23" t="b">
        <x:v>0</x:v>
      </x:c>
    </x:row>
    <x:row r="73" ht="22" customHeight="1">
      <x:c r="A73" s="7" t="str">
        <x:v>V1</x:v>
      </x:c>
      <x:c r="B73" s="9" t="n">
        <x:v>2</x:v>
      </x:c>
      <x:c r="C73" s="7" t="str">
        <x:v>OD Mature 2</x:v>
      </x:c>
      <x:c r="D73" s="11" t="n">
        <x:v>936</x:v>
      </x:c>
      <x:c r="E73" s="22" t="n">
        <x:v>0.041802509937028</x:v>
      </x:c>
      <x:c r="F73" s="23" t="b">
        <x:v>1</x:v>
      </x:c>
      <x:c r="G73" s="11" t="n">
        <x:v>217</x:v>
      </x:c>
      <x:c r="H73" s="11" t="n">
        <x:v>194</x:v>
      </x:c>
      <x:c r="I73" s="13" t="n">
        <x:v>0.036618292271347</x:v>
      </x:c>
      <x:c r="J73" s="13" t="n">
        <x:v>0.034446022727273</x:v>
      </x:c>
      <x:c r="K73" s="17" t="n">
        <x:v>-0.217226954407388</x:v>
      </x:c>
      <x:c r="L73" s="13" t="n">
        <x:v>0.253456221198157</x:v>
      </x:c>
      <x:c r="M73" s="13" t="n">
        <x:v>0.585253456221198</x:v>
      </x:c>
      <x:c r="N73" s="13" t="n">
        <x:v>0.870967741935484</x:v>
      </x:c>
      <x:c r="O73" s="13" t="n">
        <x:v>0.288659793814433</x:v>
      </x:c>
      <x:c r="P73" s="13" t="n">
        <x:v>0.577319587628866</x:v>
      </x:c>
      <x:c r="Q73" s="13" t="n">
        <x:v>0.896907216494845</x:v>
      </x:c>
      <x:c r="R73" s="15" t="n">
        <x:v>0.99538314897796</x:v>
      </x:c>
      <x:c r="S73" s="17" t="n">
        <x:v>54.01280547970799</x:v>
      </x:c>
      <x:c r="T73" s="17" t="n">
        <x:v>53.48420667660028</x:v>
      </x:c>
      <x:c r="U73" s="23" t="b">
        <x:v>0</x:v>
      </x:c>
    </x:row>
    <x:row r="74" ht="22" customHeight="1">
      <x:c r="A74" s="7" t="str">
        <x:v>V1</x:v>
      </x:c>
      <x:c r="B74" s="9" t="n">
        <x:v>2</x:v>
      </x:c>
      <x:c r="C74" s="7" t="str">
        <x:v>OD Mature 3</x:v>
      </x:c>
      <x:c r="D74" s="11" t="n">
        <x:v>12</x:v>
      </x:c>
      <x:c r="E74" s="22" t="n">
        <x:v>0.000535929614577</x:v>
      </x:c>
      <x:c r="F74" s="23" t="b">
        <x:v>1</x:v>
      </x:c>
      <x:c r="G74" s="11" t="n">
        <x:v>2</x:v>
      </x:c>
      <x:c r="H74" s="11" t="n">
        <x:v>5</x:v>
      </x:c>
      <x:c r="I74" s="13" t="n">
        <x:v>0.000337495781303</x:v>
      </x:c>
      <x:c r="J74" s="13" t="n">
        <x:v>0.000887784090909</x:v>
      </x:c>
      <x:c r="K74" s="17" t="n">
        <x:v>0.055028830960636</x:v>
      </x:c>
      <x:c r="L74" s="13" t="n">
        <x:v>0</x:v>
      </x:c>
      <x:c r="M74" s="13" t="n">
        <x:v>0</x:v>
      </x:c>
      <x:c r="N74" s="13" t="n">
        <x:v>0</x:v>
      </x:c>
      <x:c r="O74" s="13" t="n">
        <x:v>0</x:v>
      </x:c>
      <x:c r="P74" s="13" t="n">
        <x:v>0</x:v>
      </x:c>
      <x:c r="Q74" s="13" t="n">
        <x:v>0</x:v>
      </x:c>
      <x:c r="R74" s="15" t="n">
        <x:v>0.88023925621455</x:v>
      </x:c>
      <x:c r="S74" s="17" t="n">
        <x:v>680.8120067643622</x:v>
      </x:c>
      <x:c r="T74" s="17" t="n">
        <x:v>849.9265069288183</x:v>
      </x:c>
      <x:c r="U74" s="23" t="b">
        <x:v>0</x:v>
      </x:c>
    </x:row>
    <x:row r="75" ht="22" customHeight="1">
      <x:c r="A75" s="7" t="str">
        <x:v>V1</x:v>
      </x:c>
      <x:c r="B75" s="9" t="n">
        <x:v>2</x:v>
      </x:c>
      <x:c r="C75" s="7" t="str">
        <x:v>OD Mature 4</x:v>
      </x:c>
      <x:c r="D75" s="11" t="n">
        <x:v>36</x:v>
      </x:c>
      <x:c r="E75" s="22" t="n">
        <x:v>0.001607788843732</x:v>
      </x:c>
      <x:c r="F75" s="23" t="b">
        <x:v>1</x:v>
      </x:c>
      <x:c r="G75" s="11" t="n">
        <x:v>11</x:v>
      </x:c>
      <x:c r="H75" s="11" t="n">
        <x:v>6</x:v>
      </x:c>
      <x:c r="I75" s="13" t="n">
        <x:v>0.001856226797165</x:v>
      </x:c>
      <x:c r="J75" s="13" t="n">
        <x:v>0.001065340909091</x:v>
      </x:c>
      <x:c r="K75" s="17" t="n">
        <x:v>-0.079088588807413</x:v>
      </x:c>
      <x:c r="L75" s="13" t="n">
        <x:v>0</x:v>
      </x:c>
      <x:c r="M75" s="13" t="n">
        <x:v>0.090909090909091</x:v>
      </x:c>
      <x:c r="N75" s="13" t="n">
        <x:v>0.090909090909091</x:v>
      </x:c>
      <x:c r="O75" s="13" t="n">
        <x:v>0</x:v>
      </x:c>
      <x:c r="P75" s="13" t="n">
        <x:v>0.5</x:v>
      </x:c>
      <x:c r="Q75" s="13" t="n">
        <x:v>0.5</x:v>
      </x:c>
      <x:c r="R75" s="15" t="n">
        <x:v>0.958736226504364</x:v>
      </x:c>
      <x:c r="S75" s="17" t="n">
        <x:v>462.3761774345825</x:v>
      </x:c>
      <x:c r="T75" s="17" t="n">
        <x:v>207.28728806834943</x:v>
      </x:c>
      <x:c r="U75" s="23" t="b">
        <x:v>0</x:v>
      </x:c>
    </x:row>
    <x:row r="76" ht="22" customHeight="1">
      <x:c r="A76" s="7" t="str">
        <x:v>V1</x:v>
      </x:c>
      <x:c r="B76" s="9" t="n">
        <x:v>2</x:v>
      </x:c>
      <x:c r="C76" s="7" t="str">
        <x:v>Pericytes</x:v>
      </x:c>
      <x:c r="D76" s="11" t="n">
        <x:v>179</x:v>
      </x:c>
      <x:c r="E76" s="22" t="n">
        <x:v>0.007994283417444</x:v>
      </x:c>
      <x:c r="F76" s="23" t="b">
        <x:v>1</x:v>
      </x:c>
      <x:c r="G76" s="11" t="n">
        <x:v>25</x:v>
      </x:c>
      <x:c r="H76" s="11" t="n">
        <x:v>46</x:v>
      </x:c>
      <x:c r="I76" s="13" t="n">
        <x:v>0.004218697266284</x:v>
      </x:c>
      <x:c r="J76" s="13" t="n">
        <x:v>0.008167613636364</x:v>
      </x:c>
      <x:c r="K76" s="17" t="n">
        <x:v>0.394891637007946</x:v>
      </x:c>
      <x:c r="L76" s="13" t="n">
        <x:v>0.08</x:v>
      </x:c>
      <x:c r="M76" s="13" t="n">
        <x:v>0.08</x:v>
      </x:c>
      <x:c r="N76" s="13" t="n">
        <x:v>0.56</x:v>
      </x:c>
      <x:c r="O76" s="13" t="n">
        <x:v>0.021739130434783</x:v>
      </x:c>
      <x:c r="P76" s="13" t="n">
        <x:v>0.130434782608696</x:v>
      </x:c>
      <x:c r="Q76" s="13" t="n">
        <x:v>0.282608695652174</x:v>
      </x:c>
      <x:c r="R76" s="15" t="n">
        <x:v>0.96906797201196</x:v>
      </x:c>
      <x:c r="S76" s="17" t="n">
        <x:v>139.028431735792</x:v>
      </x:c>
      <x:c r="T76" s="17" t="n">
        <x:v>165.64733888988346</x:v>
      </x:c>
      <x:c r="U76" s="23" t="b">
        <x:v>0</x:v>
      </x:c>
    </x:row>
    <x:row r="77" ht="22" customHeight="1">
      <x:c r="A77" s="7" t="str">
        <x:v>V1</x:v>
      </x:c>
      <x:c r="B77" s="9" t="n">
        <x:v>3</x:v>
      </x:c>
      <x:c r="C77" s="7" t="str">
        <x:v>Astrocyte</x:v>
      </x:c>
      <x:c r="D77" s="11" t="n">
        <x:v>2742</x:v>
      </x:c>
      <x:c r="E77" s="22" t="n">
        <x:v>0.121790885671138</x:v>
      </x:c>
      <x:c r="F77" s="23" t="b">
        <x:v>0</x:v>
      </x:c>
      <x:c r="G77" s="11" t="n">
        <x:v>664</x:v>
      </x:c>
      <x:c r="H77" s="11" t="n">
        <x:v>633</x:v>
      </x:c>
      <x:c r="I77" s="13" t="n">
        <x:v>0.114423574013441</x:v>
      </x:c>
      <x:c r="J77" s="13" t="n">
        <x:v>0.111013679410733</x:v>
      </x:c>
      <x:c r="K77" s="17" t="n">
        <x:v>-0.340989460270824</x:v>
      </x:c>
      <x:c r="L77" s="13" t="n">
        <x:v>0.308734939759036</x:v>
      </x:c>
      <x:c r="M77" s="13" t="n">
        <x:v>0.728915662650602</x:v>
      </x:c>
      <x:c r="N77" s="13" t="n">
        <x:v>0.963855421686747</x:v>
      </x:c>
      <x:c r="O77" s="13" t="n">
        <x:v>0.358609794628752</x:v>
      </x:c>
      <x:c r="P77" s="13" t="n">
        <x:v>0.804107424960506</x:v>
      </x:c>
      <x:c r="Q77" s="13" t="n">
        <x:v>0.995260663507109</x:v>
      </x:c>
      <x:c r="R77" s="15" t="n">
        <x:v>0.995875165659491</x:v>
      </x:c>
      <x:c r="S77" s="17" t="n">
        <x:v>40.27730233081768</x:v>
      </x:c>
      <x:c r="T77" s="17" t="n">
        <x:v>34.31306692457357</x:v>
      </x:c>
      <x:c r="U77" s="23" t="b">
        <x:v>0</x:v>
      </x:c>
    </x:row>
    <x:row r="78" ht="22" customHeight="1">
      <x:c r="A78" s="7" t="str">
        <x:v>V1</x:v>
      </x:c>
      <x:c r="B78" s="9" t="n">
        <x:v>3</x:v>
      </x:c>
      <x:c r="C78" s="7" t="str">
        <x:v>Endothelial 1</x:v>
      </x:c>
      <x:c r="D78" s="11" t="n">
        <x:v>1176</x:v>
      </x:c>
      <x:c r="E78" s="22" t="n">
        <x:v>0.05223416540819</x:v>
      </x:c>
      <x:c r="F78" s="23" t="b">
        <x:v>0</x:v>
      </x:c>
      <x:c r="G78" s="11" t="n">
        <x:v>304</x:v>
      </x:c>
      <x:c r="H78" s="11" t="n">
        <x:v>303</x:v>
      </x:c>
      <x:c r="I78" s="13" t="n">
        <x:v>0.052386696536274</x:v>
      </x:c>
      <x:c r="J78" s="13" t="n">
        <x:v>0.05313924938618</x:v>
      </x:c>
      <x:c r="K78" s="17" t="n">
        <x:v>0.075255284990595</x:v>
      </x:c>
      <x:c r="L78" s="13" t="n">
        <x:v>0.131578947368421</x:v>
      </x:c>
      <x:c r="M78" s="13" t="n">
        <x:v>0.467105263157895</x:v>
      </x:c>
      <x:c r="N78" s="13" t="n">
        <x:v>0.917763157894737</x:v>
      </x:c>
      <x:c r="O78" s="13" t="n">
        <x:v>0.155115511551155</x:v>
      </x:c>
      <x:c r="P78" s="13" t="n">
        <x:v>0.534653465346535</x:v>
      </x:c>
      <x:c r="Q78" s="13" t="n">
        <x:v>0.953795379537954</x:v>
      </x:c>
      <x:c r="R78" s="15" t="n">
        <x:v>0.994854780797336</x:v>
      </x:c>
      <x:c r="S78" s="17" t="n">
        <x:v>55.388240954005965</x:v>
      </x:c>
      <x:c r="T78" s="17" t="n">
        <x:v>51.708111737634255</x:v>
      </x:c>
      <x:c r="U78" s="23" t="b">
        <x:v>0</x:v>
      </x:c>
    </x:row>
    <x:row r="79" ht="22" customHeight="1">
      <x:c r="A79" s="7" t="str">
        <x:v>V1</x:v>
      </x:c>
      <x:c r="B79" s="9" t="n">
        <x:v>3</x:v>
      </x:c>
      <x:c r="C79" s="7" t="str">
        <x:v>Endothelial 2</x:v>
      </x:c>
      <x:c r="D79" s="11" t="n">
        <x:v>117</x:v>
      </x:c>
      <x:c r="E79" s="22" t="n">
        <x:v>0.005196766456427</x:v>
      </x:c>
      <x:c r="F79" s="23" t="b">
        <x:v>1</x:v>
      </x:c>
      <x:c r="G79" s="11" t="n">
        <x:v>27</x:v>
      </x:c>
      <x:c r="H79" s="11" t="n">
        <x:v>17</x:v>
      </x:c>
      <x:c r="I79" s="13" t="n">
        <x:v>0.004652765810788</x:v>
      </x:c>
      <x:c r="J79" s="13" t="n">
        <x:v>0.002981410031568</x:v>
      </x:c>
      <x:c r="K79" s="17" t="n">
        <x:v>-0.167135577921965</x:v>
      </x:c>
      <x:c r="L79" s="13" t="n">
        <x:v>0.074074074074074</x:v>
      </x:c>
      <x:c r="M79" s="13" t="n">
        <x:v>0.074074074074074</x:v>
      </x:c>
      <x:c r="N79" s="13" t="n">
        <x:v>0.148148148148148</x:v>
      </x:c>
      <x:c r="O79" s="13" t="n">
        <x:v>0.117647058823529</x:v>
      </x:c>
      <x:c r="P79" s="13" t="n">
        <x:v>0.176470588235294</x:v>
      </x:c>
      <x:c r="Q79" s="13" t="n">
        <x:v>0.352941176470588</x:v>
      </x:c>
      <x:c r="R79" s="15" t="n">
        <x:v>0.911029179160076</x:v>
      </x:c>
      <x:c r="S79" s="17" t="n">
        <x:v>313.6261819976467</x:v>
      </x:c>
      <x:c r="T79" s="17" t="n">
        <x:v>155.29681185645322</x:v>
      </x:c>
      <x:c r="U79" s="23" t="b">
        <x:v>0</x:v>
      </x:c>
    </x:row>
    <x:row r="80" ht="22" customHeight="1">
      <x:c r="A80" s="7" t="str">
        <x:v>V1</x:v>
      </x:c>
      <x:c r="B80" s="9" t="n">
        <x:v>3</x:v>
      </x:c>
      <x:c r="C80" s="7" t="str">
        <x:v>Endothelial 3</x:v>
      </x:c>
      <x:c r="D80" s="11" t="n">
        <x:v>455</x:v>
      </x:c>
      <x:c r="E80" s="22" t="n">
        <x:v>0.02020964733055</x:v>
      </x:c>
      <x:c r="F80" s="23" t="b">
        <x:v>1</x:v>
      </x:c>
      <x:c r="G80" s="11" t="n">
        <x:v>94</x:v>
      </x:c>
      <x:c r="H80" s="11" t="n">
        <x:v>121</x:v>
      </x:c>
      <x:c r="I80" s="13" t="n">
        <x:v>0.016198518007927</x:v>
      </x:c>
      <x:c r="J80" s="13" t="n">
        <x:v>0.021220624342336</x:v>
      </x:c>
      <x:c r="K80" s="17" t="n">
        <x:v>0.502210633440909</x:v>
      </x:c>
      <x:c r="L80" s="13" t="n">
        <x:v>0.063829787234043</x:v>
      </x:c>
      <x:c r="M80" s="13" t="n">
        <x:v>0.170212765957447</x:v>
      </x:c>
      <x:c r="N80" s="13" t="n">
        <x:v>0.531914893617021</x:v>
      </x:c>
      <x:c r="O80" s="13" t="n">
        <x:v>0.057851239669421</x:v>
      </x:c>
      <x:c r="P80" s="13" t="n">
        <x:v>0.15702479338843</x:v>
      </x:c>
      <x:c r="Q80" s="13" t="n">
        <x:v>0.56198347107438</x:v>
      </x:c>
      <x:c r="R80" s="15" t="n">
        <x:v>0.986883232860301</x:v>
      </x:c>
      <x:c r="S80" s="17" t="n">
        <x:v>98.5505544630641</x:v>
      </x:c>
      <x:c r="T80" s="17" t="n">
        <x:v>96.76670270204396</x:v>
      </x:c>
      <x:c r="U80" s="23" t="b">
        <x:v>0</x:v>
      </x:c>
    </x:row>
    <x:row r="81" ht="22" customHeight="1">
      <x:c r="A81" s="7" t="str">
        <x:v>V1</x:v>
      </x:c>
      <x:c r="B81" s="9" t="n">
        <x:v>3</x:v>
      </x:c>
      <x:c r="C81" s="7" t="str">
        <x:v>Ependymal</x:v>
      </x:c>
      <x:c r="D81" s="11" t="n">
        <x:v>1055</x:v>
      </x:c>
      <x:c r="E81" s="22" t="n">
        <x:v>0.046859731722484</x:v>
      </x:c>
      <x:c r="F81" s="23" t="b">
        <x:v>1</x:v>
      </x:c>
      <x:c r="G81" s="11" t="n">
        <x:v>232</x:v>
      </x:c>
      <x:c r="H81" s="11" t="n">
        <x:v>243</x:v>
      </x:c>
      <x:c r="I81" s="13" t="n">
        <x:v>0.039979321040841</x:v>
      </x:c>
      <x:c r="J81" s="13" t="n">
        <x:v>0.042616625745352</x:v>
      </x:c>
      <x:c r="K81" s="17" t="n">
        <x:v>0.263730470451156</x:v>
      </x:c>
      <x:c r="L81" s="13" t="n">
        <x:v>0.866379310344828</x:v>
      </x:c>
      <x:c r="M81" s="13" t="n">
        <x:v>0.991379310344828</x:v>
      </x:c>
      <x:c r="N81" s="13" t="n">
        <x:v>1</x:v>
      </x:c>
      <x:c r="O81" s="13" t="n">
        <x:v>0.753086419753086</x:v>
      </x:c>
      <x:c r="P81" s="13" t="n">
        <x:v>0.930041152263374</x:v>
      </x:c>
      <x:c r="Q81" s="13" t="n">
        <x:v>1</x:v>
      </x:c>
      <x:c r="R81" s="15" t="n">
        <x:v>0.994685479989764</x:v>
      </x:c>
      <x:c r="S81" s="17" t="n">
        <x:v>14.513314021797692</x:v>
      </x:c>
      <x:c r="T81" s="17" t="n">
        <x:v>18.26730142695764</x:v>
      </x:c>
      <x:c r="U81" s="23" t="b">
        <x:v>0</x:v>
      </x:c>
    </x:row>
    <x:row r="82" ht="22" customHeight="1">
      <x:c r="A82" s="7" t="str">
        <x:v>V1</x:v>
      </x:c>
      <x:c r="B82" s="9" t="n">
        <x:v>3</x:v>
      </x:c>
      <x:c r="C82" s="7" t="str">
        <x:v>Excitatory</x:v>
      </x:c>
      <x:c r="D82" s="11" t="n">
        <x:v>4593</x:v>
      </x:c>
      <x:c r="E82" s="22" t="n">
        <x:v>0.204006396020254</x:v>
      </x:c>
      <x:c r="F82" s="23" t="b">
        <x:v>0</x:v>
      </x:c>
      <x:c r="G82" s="11" t="n">
        <x:v>1194</x:v>
      </x:c>
      <x:c r="H82" s="11" t="n">
        <x:v>1270</x:v>
      </x:c>
      <x:c r="I82" s="13" t="n">
        <x:v>0.205755643632604</x:v>
      </x:c>
      <x:c r="J82" s="13" t="n">
        <x:v>0.222728867064188</x:v>
      </x:c>
      <x:c r="K82" s="17" t="n">
        <x:v>1.69732234315842</x:v>
      </x:c>
      <x:c r="L82" s="13" t="n">
        <x:v>0.547738693467337</x:v>
      </x:c>
      <x:c r="M82" s="13" t="n">
        <x:v>0.891122278056951</x:v>
      </x:c>
      <x:c r="N82" s="13" t="n">
        <x:v>0.992462311557789</x:v>
      </x:c>
      <x:c r="O82" s="13" t="n">
        <x:v>0.566929133858268</x:v>
      </x:c>
      <x:c r="P82" s="13" t="n">
        <x:v>0.920472440944882</x:v>
      </x:c>
      <x:c r="Q82" s="13" t="n">
        <x:v>1</x:v>
      </x:c>
      <x:c r="R82" s="15" t="n">
        <x:v>0.99435987644583</x:v>
      </x:c>
      <x:c r="S82" s="17" t="n">
        <x:v>27.60860729772904</x:v>
      </x:c>
      <x:c r="T82" s="17" t="n">
        <x:v>25.1782553840402</x:v>
      </x:c>
      <x:c r="U82" s="23" t="b">
        <x:v>0</x:v>
      </x:c>
    </x:row>
    <x:row r="83" ht="22" customHeight="1">
      <x:c r="A83" s="7" t="str">
        <x:v>V1</x:v>
      </x:c>
      <x:c r="B83" s="9" t="n">
        <x:v>3</x:v>
      </x:c>
      <x:c r="C83" s="7" t="str">
        <x:v>Inhibitory</x:v>
      </x:c>
      <x:c r="D83" s="11" t="n">
        <x:v>9762</x:v>
      </x:c>
      <x:c r="E83" s="22" t="n">
        <x:v>0.433596873056765</x:v>
      </x:c>
      <x:c r="F83" s="23" t="b">
        <x:v>0</x:v>
      </x:c>
      <x:c r="G83" s="11" t="n">
        <x:v>2607</x:v>
      </x:c>
      <x:c r="H83" s="11" t="n">
        <x:v>2486</x:v>
      </x:c>
      <x:c r="I83" s="13" t="n">
        <x:v>0.449250387730484</x:v>
      </x:c>
      <x:c r="J83" s="13" t="n">
        <x:v>0.435987372851631</x:v>
      </x:c>
      <x:c r="K83" s="17" t="n">
        <x:v>-1.326301487885323</x:v>
      </x:c>
      <x:c r="L83" s="13" t="n">
        <x:v>0.744917529727656</x:v>
      </x:c>
      <x:c r="M83" s="13" t="n">
        <x:v>0.939010356731876</x:v>
      </x:c>
      <x:c r="N83" s="13" t="n">
        <x:v>0.996164173379363</x:v>
      </x:c>
      <x:c r="O83" s="13" t="n">
        <x:v>0.854384553499598</x:v>
      </x:c>
      <x:c r="P83" s="13" t="n">
        <x:v>0.988736926790024</x:v>
      </x:c>
      <x:c r="Q83" s="13" t="n">
        <x:v>0.998390989541432</x:v>
      </x:c>
      <x:c r="R83" s="15" t="n">
        <x:v>0.994999669162854</x:v>
      </x:c>
      <x:c r="S83" s="17" t="n">
        <x:v>20.8613513598163</x:v>
      </x:c>
      <x:c r="T83" s="17" t="n">
        <x:v>16.10836210902066</x:v>
      </x:c>
      <x:c r="U83" s="23" t="b">
        <x:v>0</x:v>
      </x:c>
    </x:row>
    <x:row r="84" ht="22" customHeight="1">
      <x:c r="A84" s="7" t="str">
        <x:v>V1</x:v>
      </x:c>
      <x:c r="B84" s="9" t="n">
        <x:v>3</x:v>
      </x:c>
      <x:c r="C84" s="7" t="str">
        <x:v>Microglia</x:v>
      </x:c>
      <x:c r="D84" s="11" t="n">
        <x:v>473</x:v>
      </x:c>
      <x:c r="E84" s="22" t="n">
        <x:v>0.021009149862308</x:v>
      </x:c>
      <x:c r="F84" s="23" t="b">
        <x:v>1</x:v>
      </x:c>
      <x:c r="G84" s="11" t="n">
        <x:v>121</x:v>
      </x:c>
      <x:c r="H84" s="11" t="n">
        <x:v>121</x:v>
      </x:c>
      <x:c r="I84" s="13" t="n">
        <x:v>0.020851283818714</x:v>
      </x:c>
      <x:c r="J84" s="13" t="n">
        <x:v>0.021220624342336</x:v>
      </x:c>
      <x:c r="K84" s="17" t="n">
        <x:v>0.036934052362156</x:v>
      </x:c>
      <x:c r="L84" s="13" t="n">
        <x:v>0.074380165289256</x:v>
      </x:c>
      <x:c r="M84" s="13" t="n">
        <x:v>0.231404958677686</x:v>
      </x:c>
      <x:c r="N84" s="13" t="n">
        <x:v>0.628099173553719</x:v>
      </x:c>
      <x:c r="O84" s="13" t="n">
        <x:v>0.082644628099174</x:v>
      </x:c>
      <x:c r="P84" s="13" t="n">
        <x:v>0.239669421487603</x:v>
      </x:c>
      <x:c r="Q84" s="13" t="n">
        <x:v>0.735537190082645</x:v>
      </x:c>
      <x:c r="R84" s="15" t="n">
        <x:v>0.986389497059802</x:v>
      </x:c>
      <x:c r="S84" s="17" t="n">
        <x:v>93.69667509812908</x:v>
      </x:c>
      <x:c r="T84" s="17" t="n">
        <x:v>80.53099542970905</x:v>
      </x:c>
      <x:c r="U84" s="23" t="b">
        <x:v>0</x:v>
      </x:c>
    </x:row>
    <x:row r="85" ht="22" customHeight="1">
      <x:c r="A85" s="7" t="str">
        <x:v>V1</x:v>
      </x:c>
      <x:c r="B85" s="9" t="n">
        <x:v>3</x:v>
      </x:c>
      <x:c r="C85" s="7" t="str">
        <x:v>OD Immature 1</x:v>
      </x:c>
      <x:c r="D85" s="11" t="n">
        <x:v>814</x:v>
      </x:c>
      <x:c r="E85" s="22" t="n">
        <x:v>0.03615528115839</x:v>
      </x:c>
      <x:c r="F85" s="23" t="b">
        <x:v>1</x:v>
      </x:c>
      <x:c r="G85" s="11" t="n">
        <x:v>198</x:v>
      </x:c>
      <x:c r="H85" s="11" t="n">
        <x:v>189</x:v>
      </x:c>
      <x:c r="I85" s="13" t="n">
        <x:v>0.034120282612442</x:v>
      </x:c>
      <x:c r="J85" s="13" t="n">
        <x:v>0.033146264468608</x:v>
      </x:c>
      <x:c r="K85" s="17" t="n">
        <x:v>-0.097401814383433</x:v>
      </x:c>
      <x:c r="L85" s="13" t="n">
        <x:v>0.116161616161616</x:v>
      </x:c>
      <x:c r="M85" s="13" t="n">
        <x:v>0.373737373737374</x:v>
      </x:c>
      <x:c r="N85" s="13" t="n">
        <x:v>0.818181818181818</x:v>
      </x:c>
      <x:c r="O85" s="13" t="n">
        <x:v>0.126984126984127</x:v>
      </x:c>
      <x:c r="P85" s="13" t="n">
        <x:v>0.44973544973545</x:v>
      </x:c>
      <x:c r="Q85" s="13" t="n">
        <x:v>0.857142857142857</x:v>
      </x:c>
      <x:c r="R85" s="15" t="n">
        <x:v>0.993737737277392</x:v>
      </x:c>
      <x:c r="S85" s="17" t="n">
        <x:v>67.25922088005582</x:v>
      </x:c>
      <x:c r="T85" s="17" t="n">
        <x:v>58.94338797750471</x:v>
      </x:c>
      <x:c r="U85" s="23" t="b">
        <x:v>0</x:v>
      </x:c>
    </x:row>
    <x:row r="86" ht="22" customHeight="1">
      <x:c r="A86" s="7" t="str">
        <x:v>V1</x:v>
      </x:c>
      <x:c r="B86" s="9" t="n">
        <x:v>3</x:v>
      </x:c>
      <x:c r="C86" s="7" t="str">
        <x:v>OD Immature 2</x:v>
      </x:c>
      <x:c r="D86" s="11" t="n">
        <x:v>26</x:v>
      </x:c>
      <x:c r="E86" s="22" t="n">
        <x:v>0.001154836990317</x:v>
      </x:c>
      <x:c r="F86" s="23" t="b">
        <x:v>1</x:v>
      </x:c>
      <x:c r="G86" s="11" t="n">
        <x:v>7</x:v>
      </x:c>
      <x:c r="H86" s="11" t="n">
        <x:v>5</x:v>
      </x:c>
      <x:c r="I86" s="13" t="n">
        <x:v>0.001206272617612</x:v>
      </x:c>
      <x:c r="J86" s="13" t="n">
        <x:v>0.000876885303402</x:v>
      </x:c>
      <x:c r="K86" s="17" t="n">
        <x:v>-0.032938731420926</x:v>
      </x:c>
      <x:c r="L86" s="13" t="n">
        <x:v>0</x:v>
      </x:c>
      <x:c r="M86" s="13" t="n">
        <x:v>0</x:v>
      </x:c>
      <x:c r="N86" s="13" t="n">
        <x:v>0</x:v>
      </x:c>
      <x:c r="O86" s="13" t="n">
        <x:v>0</x:v>
      </x:c>
      <x:c r="P86" s="13" t="n">
        <x:v>0</x:v>
      </x:c>
      <x:c r="Q86" s="13" t="n">
        <x:v>0</x:v>
      </x:c>
      <x:c r="R86" s="15" t="n">
        <x:v>0.755349846634946</x:v>
      </x:c>
      <x:c r="S86" s="17" t="n">
        <x:v>492.12613971270537</x:v>
      </x:c>
      <x:c r="T86" s="17" t="n">
        <x:v>405.8174474644189</x:v>
      </x:c>
      <x:c r="U86" s="23" t="b">
        <x:v>0</x:v>
      </x:c>
    </x:row>
    <x:row r="87" ht="22" customHeight="1">
      <x:c r="A87" s="7" t="str">
        <x:v>V1</x:v>
      </x:c>
      <x:c r="B87" s="9" t="n">
        <x:v>3</x:v>
      </x:c>
      <x:c r="C87" s="7" t="str">
        <x:v>OD Mature 1</x:v>
      </x:c>
      <x:c r="D87" s="11" t="n">
        <x:v>192</x:v>
      </x:c>
      <x:c r="E87" s="22" t="n">
        <x:v>0.008528027005419</x:v>
      </x:c>
      <x:c r="F87" s="23" t="b">
        <x:v>1</x:v>
      </x:c>
      <x:c r="G87" s="11" t="n">
        <x:v>46</x:v>
      </x:c>
      <x:c r="H87" s="11" t="n">
        <x:v>40</x:v>
      </x:c>
      <x:c r="I87" s="13" t="n">
        <x:v>0.007926934344305</x:v>
      </x:c>
      <x:c r="J87" s="13" t="n">
        <x:v>0.007015082427218</x:v>
      </x:c>
      <x:c r="K87" s="17" t="n">
        <x:v>-0.091185191708615</x:v>
      </x:c>
      <x:c r="L87" s="13" t="n">
        <x:v>0.08695652173913</x:v>
      </x:c>
      <x:c r="M87" s="13" t="n">
        <x:v>0.282608695652174</x:v>
      </x:c>
      <x:c r="N87" s="13" t="n">
        <x:v>0.608695652173913</x:v>
      </x:c>
      <x:c r="O87" s="13" t="n">
        <x:v>0.075</x:v>
      </x:c>
      <x:c r="P87" s="13" t="n">
        <x:v>0.2</x:v>
      </x:c>
      <x:c r="Q87" s="13" t="n">
        <x:v>0.6</x:v>
      </x:c>
      <x:c r="R87" s="15" t="n">
        <x:v>0.986874539787941</x:v>
      </x:c>
      <x:c r="S87" s="17" t="n">
        <x:v>103.72544367284964</x:v>
      </x:c>
      <x:c r="T87" s="17" t="n">
        <x:v>107.42295072817316</x:v>
      </x:c>
      <x:c r="U87" s="23" t="b">
        <x:v>0</x:v>
      </x:c>
    </x:row>
    <x:row r="88" ht="22" customHeight="1">
      <x:c r="A88" s="7" t="str">
        <x:v>V1</x:v>
      </x:c>
      <x:c r="B88" s="9" t="n">
        <x:v>3</x:v>
      </x:c>
      <x:c r="C88" s="7" t="str">
        <x:v>OD Mature 2</x:v>
      </x:c>
      <x:c r="D88" s="11" t="n">
        <x:v>907</x:v>
      </x:c>
      <x:c r="E88" s="22" t="n">
        <x:v>0.04028604423914</x:v>
      </x:c>
      <x:c r="F88" s="23" t="b">
        <x:v>1</x:v>
      </x:c>
      <x:c r="G88" s="11" t="n">
        <x:v>246</x:v>
      </x:c>
      <x:c r="H88" s="11" t="n">
        <x:v>222</x:v>
      </x:c>
      <x:c r="I88" s="13" t="n">
        <x:v>0.042391866276064</x:v>
      </x:c>
      <x:c r="J88" s="13" t="n">
        <x:v>0.038933707471063</x:v>
      </x:c>
      <x:c r="K88" s="17" t="n">
        <x:v>-0.345815880500132</x:v>
      </x:c>
      <x:c r="L88" s="13" t="n">
        <x:v>0.288617886178862</x:v>
      </x:c>
      <x:c r="M88" s="13" t="n">
        <x:v>0.573170731707317</x:v>
      </x:c>
      <x:c r="N88" s="13" t="n">
        <x:v>0.841463414634146</x:v>
      </x:c>
      <x:c r="O88" s="13" t="n">
        <x:v>0.369369369369369</x:v>
      </x:c>
      <x:c r="P88" s="13" t="n">
        <x:v>0.662162162162162</x:v>
      </x:c>
      <x:c r="Q88" s="13" t="n">
        <x:v>0.878378378378378</x:v>
      </x:c>
      <x:c r="R88" s="15" t="n">
        <x:v>0.996409304722292</x:v>
      </x:c>
      <x:c r="S88" s="17" t="n">
        <x:v>56.55620009794973</x:v>
      </x:c>
      <x:c r="T88" s="17" t="n">
        <x:v>46.38420719319937</x:v>
      </x:c>
      <x:c r="U88" s="23" t="b">
        <x:v>0</x:v>
      </x:c>
    </x:row>
    <x:row r="89" ht="22" customHeight="1">
      <x:c r="A89" s="7" t="str">
        <x:v>V1</x:v>
      </x:c>
      <x:c r="B89" s="9" t="n">
        <x:v>3</x:v>
      </x:c>
      <x:c r="C89" s="7" t="str">
        <x:v>OD Mature 3</x:v>
      </x:c>
      <x:c r="D89" s="11" t="n">
        <x:v>11</x:v>
      </x:c>
      <x:c r="E89" s="22" t="n">
        <x:v>0.000488584880519</x:v>
      </x:c>
      <x:c r="F89" s="23" t="b">
        <x:v>1</x:v>
      </x:c>
      <x:c r="G89" s="11" t="n">
        <x:v>3</x:v>
      </x:c>
      <x:c r="H89" s="11" t="n">
        <x:v>3</x:v>
      </x:c>
      <x:c r="I89" s="13" t="n">
        <x:v>0.000516973978976</x:v>
      </x:c>
      <x:c r="J89" s="13" t="n">
        <x:v>0.000526131182041</x:v>
      </x:c>
      <x:c r="K89" s="17" t="n">
        <x:v>0.0009157203065</x:v>
      </x:c>
      <x:c r="L89" s="13" t="n">
        <x:v>0</x:v>
      </x:c>
      <x:c r="M89" s="13" t="n">
        <x:v>0</x:v>
      </x:c>
      <x:c r="N89" s="13" t="n">
        <x:v>0</x:v>
      </x:c>
      <x:c r="O89" s="13" t="n">
        <x:v>0</x:v>
      </x:c>
      <x:c r="P89" s="13" t="n">
        <x:v>0</x:v>
      </x:c>
      <x:c r="Q89" s="13" t="n">
        <x:v>0</x:v>
      </x:c>
      <x:c r="R89" s="15" t="n">
        <x:v>0.871952191614626</x:v>
      </x:c>
      <x:c r="S89" s="17" t="n">
        <x:v>596.6552266653903</x:v>
      </x:c>
      <x:c r="T89" s="17" t="n">
        <x:v>579.2423390360367</x:v>
      </x:c>
      <x:c r="U89" s="23" t="b">
        <x:v>0</x:v>
      </x:c>
    </x:row>
    <x:row r="90" ht="22" customHeight="1">
      <x:c r="A90" s="7" t="str">
        <x:v>V1</x:v>
      </x:c>
      <x:c r="B90" s="9" t="n">
        <x:v>3</x:v>
      </x:c>
      <x:c r="C90" s="7" t="str">
        <x:v>OD Mature 4</x:v>
      </x:c>
      <x:c r="D90" s="11" t="n">
        <x:v>39</x:v>
      </x:c>
      <x:c r="E90" s="22" t="n">
        <x:v>0.001732255485476</x:v>
      </x:c>
      <x:c r="F90" s="23" t="b">
        <x:v>1</x:v>
      </x:c>
      <x:c r="G90" s="11" t="n">
        <x:v>8</x:v>
      </x:c>
      <x:c r="H90" s="11" t="n">
        <x:v>9</x:v>
      </x:c>
      <x:c r="I90" s="13" t="n">
        <x:v>0.00137859727727</x:v>
      </x:c>
      <x:c r="J90" s="13" t="n">
        <x:v>0.001578393546124</x:v>
      </x:c>
      <x:c r="K90" s="17" t="n">
        <x:v>0.019979626885379</x:v>
      </x:c>
      <x:c r="L90" s="13" t="n">
        <x:v>0</x:v>
      </x:c>
      <x:c r="M90" s="13" t="n">
        <x:v>0</x:v>
      </x:c>
      <x:c r="N90" s="13" t="n">
        <x:v>0</x:v>
      </x:c>
      <x:c r="O90" s="13" t="n">
        <x:v>0</x:v>
      </x:c>
      <x:c r="P90" s="13" t="n">
        <x:v>0</x:v>
      </x:c>
      <x:c r="Q90" s="13" t="n">
        <x:v>0</x:v>
      </x:c>
      <x:c r="R90" s="15" t="n">
        <x:v>0.948806979446285</x:v>
      </x:c>
      <x:c r="S90" s="17" t="n">
        <x:v>399.1804034711069</x:v>
      </x:c>
      <x:c r="T90" s="17" t="n">
        <x:v>638.5265615359734</x:v>
      </x:c>
      <x:c r="U90" s="23" t="b">
        <x:v>0</x:v>
      </x:c>
    </x:row>
    <x:row r="91" ht="22" customHeight="1">
      <x:c r="A91" s="7" t="str">
        <x:v>V1</x:v>
      </x:c>
      <x:c r="B91" s="9" t="n">
        <x:v>3</x:v>
      </x:c>
      <x:c r="C91" s="7" t="str">
        <x:v>Pericytes</x:v>
      </x:c>
      <x:c r="D91" s="11" t="n">
        <x:v>152</x:v>
      </x:c>
      <x:c r="E91" s="22" t="n">
        <x:v>0.006751354712623</x:v>
      </x:c>
      <x:c r="F91" s="23" t="b">
        <x:v>1</x:v>
      </x:c>
      <x:c r="G91" s="11" t="n">
        <x:v>52</x:v>
      </x:c>
      <x:c r="H91" s="11" t="n">
        <x:v>40</x:v>
      </x:c>
      <x:c r="I91" s="13" t="n">
        <x:v>0.008960882302257</x:v>
      </x:c>
      <x:c r="J91" s="13" t="n">
        <x:v>0.007015082427218</x:v>
      </x:c>
      <x:c r="K91" s="17" t="n">
        <x:v>-0.194579987503893</x:v>
      </x:c>
      <x:c r="L91" s="13" t="n">
        <x:v>0.134615384615385</x:v>
      </x:c>
      <x:c r="M91" s="13" t="n">
        <x:v>0.25</x:v>
      </x:c>
      <x:c r="N91" s="13" t="n">
        <x:v>0.653846153846154</x:v>
      </x:c>
      <x:c r="O91" s="13" t="n">
        <x:v>0.05</x:v>
      </x:c>
      <x:c r="P91" s="13" t="n">
        <x:v>0.125</x:v>
      </x:c>
      <x:c r="Q91" s="13" t="n">
        <x:v>0.3</x:v>
      </x:c>
      <x:c r="R91" s="15" t="n">
        <x:v>0.963000766921094</x:v>
      </x:c>
      <x:c r="S91" s="17" t="n">
        <x:v>126.95345598814372</x:v>
      </x:c>
      <x:c r="T91" s="17" t="n">
        <x:v>155.97225935615626</x:v>
      </x:c>
      <x:c r="U91" s="23" t="b">
        <x:v>0</x:v>
      </x:c>
    </x:row>
    <x:row r="92" ht="22" customHeight="1">
      <x:c r="A92" s="7" t="str">
        <x:v>S</x:v>
      </x:c>
      <x:c r="B92" s="9" t="n">
        <x:v>1</x:v>
      </x:c>
      <x:c r="C92" s="7" t="str">
        <x:v>Astrocyte</x:v>
      </x:c>
      <x:c r="D92" s="11" t="n">
        <x:v>2772</x:v>
      </x:c>
      <x:c r="E92" s="22" t="n">
        <x:v>0.121792618629174</x:v>
      </x:c>
      <x:c r="F92" s="23" t="b">
        <x:v>0</x:v>
      </x:c>
      <x:c r="G92" s="11" t="n">
        <x:v>634</x:v>
      </x:c>
      <x:c r="H92" s="11" t="n">
        <x:v>683</x:v>
      </x:c>
      <x:c r="I92" s="13" t="n">
        <x:v>0.114090336512507</x:v>
      </x:c>
      <x:c r="J92" s="13" t="n">
        <x:v>0.11967758892588</x:v>
      </x:c>
      <x:c r="K92" s="17" t="n">
        <x:v>0.558725241337375</x:v>
      </x:c>
      <x:c r="L92" s="13" t="n">
        <x:v>0.277602523659306</x:v>
      </x:c>
      <x:c r="M92" s="13" t="n">
        <x:v>0.675078864353312</x:v>
      </x:c>
      <x:c r="N92" s="13" t="n">
        <x:v>0.971608832807571</x:v>
      </x:c>
      <x:c r="O92" s="13" t="n">
        <x:v>0.335285505124451</x:v>
      </x:c>
      <x:c r="P92" s="13" t="n">
        <x:v>0.805270863836018</x:v>
      </x:c>
      <x:c r="Q92" s="13" t="n">
        <x:v>0.994143484626647</x:v>
      </x:c>
      <x:c r="R92" s="15" t="n">
        <x:v>0.997189214990102</x:v>
      </x:c>
      <x:c r="S92" s="17" t="n">
        <x:v>42.1297622869365</x:v>
      </x:c>
      <x:c r="T92" s="17" t="n">
        <x:v>35.188526434241254</x:v>
      </x:c>
      <x:c r="U92" s="23" t="b">
        <x:v>0</x:v>
      </x:c>
    </x:row>
    <x:row r="93" ht="22" customHeight="1">
      <x:c r="A93" s="7" t="str">
        <x:v>S</x:v>
      </x:c>
      <x:c r="B93" s="9" t="n">
        <x:v>1</x:v>
      </x:c>
      <x:c r="C93" s="7" t="str">
        <x:v>Endothelial 1</x:v>
      </x:c>
      <x:c r="D93" s="11" t="n">
        <x:v>1209</x:v>
      </x:c>
      <x:c r="E93" s="22" t="n">
        <x:v>0.053119507908612</x:v>
      </x:c>
      <x:c r="F93" s="23" t="b">
        <x:v>0</x:v>
      </x:c>
      <x:c r="G93" s="11" t="n">
        <x:v>271</x:v>
      </x:c>
      <x:c r="H93" s="11" t="n">
        <x:v>303</x:v>
      </x:c>
      <x:c r="I93" s="13" t="n">
        <x:v>0.048767320496671</x:v>
      </x:c>
      <x:c r="J93" s="13" t="n">
        <x:v>0.053092693183809</x:v>
      </x:c>
      <x:c r="K93" s="17" t="n">
        <x:v>0.432537268713849</x:v>
      </x:c>
      <x:c r="L93" s="13" t="n">
        <x:v>0.14760147601476</x:v>
      </x:c>
      <x:c r="M93" s="13" t="n">
        <x:v>0.464944649446494</x:v>
      </x:c>
      <x:c r="N93" s="13" t="n">
        <x:v>0.892988929889299</x:v>
      </x:c>
      <x:c r="O93" s="13" t="n">
        <x:v>0.168316831683168</x:v>
      </x:c>
      <x:c r="P93" s="13" t="n">
        <x:v>0.475247524752475</x:v>
      </x:c>
      <x:c r="Q93" s="13" t="n">
        <x:v>0.910891089108911</x:v>
      </x:c>
      <x:c r="R93" s="15" t="n">
        <x:v>0.996089231161596</x:v>
      </x:c>
      <x:c r="S93" s="17" t="n">
        <x:v>58.28412515811187</x:v>
      </x:c>
      <x:c r="T93" s="17" t="n">
        <x:v>55.16842044001038</x:v>
      </x:c>
      <x:c r="U93" s="23" t="b">
        <x:v>0</x:v>
      </x:c>
    </x:row>
    <x:row r="94" ht="22" customHeight="1">
      <x:c r="A94" s="7" t="str">
        <x:v>S</x:v>
      </x:c>
      <x:c r="B94" s="9" t="n">
        <x:v>1</x:v>
      </x:c>
      <x:c r="C94" s="7" t="str">
        <x:v>Endothelial 2</x:v>
      </x:c>
      <x:c r="D94" s="11" t="n">
        <x:v>103</x:v>
      </x:c>
      <x:c r="E94" s="22" t="n">
        <x:v>0.004525483304042</x:v>
      </x:c>
      <x:c r="F94" s="23" t="b">
        <x:v>1</x:v>
      </x:c>
      <x:c r="G94" s="11" t="n">
        <x:v>41</x:v>
      </x:c>
      <x:c r="H94" s="11" t="n">
        <x:v>29</x:v>
      </x:c>
      <x:c r="I94" s="13" t="n">
        <x:v>0.007378081698758</x:v>
      </x:c>
      <x:c r="J94" s="13" t="n">
        <x:v>0.005081478885579</x:v>
      </x:c>
      <x:c r="K94" s="17" t="n">
        <x:v>-0.229660281317921</x:v>
      </x:c>
      <x:c r="L94" s="13" t="n">
        <x:v>0.073170731707317</x:v>
      </x:c>
      <x:c r="M94" s="13" t="n">
        <x:v>0.121951219512195</x:v>
      </x:c>
      <x:c r="N94" s="13" t="n">
        <x:v>0.121951219512195</x:v>
      </x:c>
      <x:c r="O94" s="13" t="n">
        <x:v>0.137931034482759</x:v>
      </x:c>
      <x:c r="P94" s="13" t="n">
        <x:v>0.344827586206897</x:v>
      </x:c>
      <x:c r="Q94" s="13" t="n">
        <x:v>0.551724137931034</x:v>
      </x:c>
      <x:c r="R94" s="15" t="n">
        <x:v>0.926758119209242</x:v>
      </x:c>
      <x:c r="S94" s="17" t="n">
        <x:v>236.6103819100977</x:v>
      </x:c>
      <x:c r="T94" s="17" t="n">
        <x:v>118.00296929563224</x:v>
      </x:c>
      <x:c r="U94" s="23" t="b">
        <x:v>0</x:v>
      </x:c>
    </x:row>
    <x:row r="95" ht="22" customHeight="1">
      <x:c r="A95" s="7" t="str">
        <x:v>S</x:v>
      </x:c>
      <x:c r="B95" s="9" t="n">
        <x:v>1</x:v>
      </x:c>
      <x:c r="C95" s="7" t="str">
        <x:v>Endothelial 3</x:v>
      </x:c>
      <x:c r="D95" s="11" t="n">
        <x:v>433</x:v>
      </x:c>
      <x:c r="E95" s="22" t="n">
        <x:v>0.01902460456942</x:v>
      </x:c>
      <x:c r="F95" s="23" t="b">
        <x:v>1</x:v>
      </x:c>
      <x:c r="G95" s="11" t="n">
        <x:v>116</x:v>
      </x:c>
      <x:c r="H95" s="11" t="n">
        <x:v>111</x:v>
      </x:c>
      <x:c r="I95" s="13" t="n">
        <x:v>0.020874572611121</x:v>
      </x:c>
      <x:c r="J95" s="13" t="n">
        <x:v>0.019449798493079</x:v>
      </x:c>
      <x:c r="K95" s="17" t="n">
        <x:v>-0.142477411804243</x:v>
      </x:c>
      <x:c r="L95" s="13" t="n">
        <x:v>0.094827586206896</x:v>
      </x:c>
      <x:c r="M95" s="13" t="n">
        <x:v>0.25</x:v>
      </x:c>
      <x:c r="N95" s="13" t="n">
        <x:v>0.603448275862069</x:v>
      </x:c>
      <x:c r="O95" s="13" t="n">
        <x:v>0.099099099099099</x:v>
      </x:c>
      <x:c r="P95" s="13" t="n">
        <x:v>0.252252252252252</x:v>
      </x:c>
      <x:c r="Q95" s="13" t="n">
        <x:v>0.756756756756757</x:v>
      </x:c>
      <x:c r="R95" s="15" t="n">
        <x:v>0.990934750948788</x:v>
      </x:c>
      <x:c r="S95" s="17" t="n">
        <x:v>95.00883225080284</x:v>
      </x:c>
      <x:c r="T95" s="17" t="n">
        <x:v>76.50109849173029</x:v>
      </x:c>
      <x:c r="U95" s="23" t="b">
        <x:v>0</x:v>
      </x:c>
    </x:row>
    <x:row r="96" ht="22" customHeight="1">
      <x:c r="A96" s="7" t="str">
        <x:v>S</x:v>
      </x:c>
      <x:c r="B96" s="9" t="n">
        <x:v>1</x:v>
      </x:c>
      <x:c r="C96" s="7" t="str">
        <x:v>Ependymal</x:v>
      </x:c>
      <x:c r="D96" s="11" t="n">
        <x:v>982</x:v>
      </x:c>
      <x:c r="E96" s="22" t="n">
        <x:v>0.043145869947276</x:v>
      </x:c>
      <x:c r="F96" s="23" t="b">
        <x:v>1</x:v>
      </x:c>
      <x:c r="G96" s="11" t="n">
        <x:v>305</x:v>
      </x:c>
      <x:c r="H96" s="11" t="n">
        <x:v>266</x:v>
      </x:c>
      <x:c r="I96" s="13" t="n">
        <x:v>0.054885729710275</x:v>
      </x:c>
      <x:c r="J96" s="13" t="n">
        <x:v>0.04660942701945</x:v>
      </x:c>
      <x:c r="K96" s="17" t="n">
        <x:v>-0.827630269082553</x:v>
      </x:c>
      <x:c r="L96" s="13" t="n">
        <x:v>0.8</x:v>
      </x:c>
      <x:c r="M96" s="13" t="n">
        <x:v>0.973770491803279</x:v>
      </x:c>
      <x:c r="N96" s="13" t="n">
        <x:v>1</x:v>
      </x:c>
      <x:c r="O96" s="13" t="n">
        <x:v>0.800751879699248</x:v>
      </x:c>
      <x:c r="P96" s="13" t="n">
        <x:v>0.977443609022556</x:v>
      </x:c>
      <x:c r="Q96" s="13" t="n">
        <x:v>0.996240601503759</x:v>
      </x:c>
      <x:c r="R96" s="15" t="n">
        <x:v>0.996060734343513</x:v>
      </x:c>
      <x:c r="S96" s="17" t="n">
        <x:v>16.720525137473956</x:v>
      </x:c>
      <x:c r="T96" s="17" t="n">
        <x:v>16.951672260858324</x:v>
      </x:c>
      <x:c r="U96" s="23" t="b">
        <x:v>0</x:v>
      </x:c>
    </x:row>
    <x:row r="97" ht="22" customHeight="1">
      <x:c r="A97" s="7" t="str">
        <x:v>S</x:v>
      </x:c>
      <x:c r="B97" s="9" t="n">
        <x:v>1</x:v>
      </x:c>
      <x:c r="C97" s="7" t="str">
        <x:v>Excitatory</x:v>
      </x:c>
      <x:c r="D97" s="11" t="n">
        <x:v>4700</x:v>
      </x:c>
      <x:c r="E97" s="22" t="n">
        <x:v>0.206502636203866</x:v>
      </x:c>
      <x:c r="F97" s="23" t="b">
        <x:v>0</x:v>
      </x:c>
      <x:c r="G97" s="11" t="n">
        <x:v>1087</x:v>
      </x:c>
      <x:c r="H97" s="11" t="n">
        <x:v>1142</x:v>
      </x:c>
      <x:c r="I97" s="13" t="n">
        <x:v>0.195609141623178</x:v>
      </x:c>
      <x:c r="J97" s="13" t="n">
        <x:v>0.200105134045908</x:v>
      </x:c>
      <x:c r="K97" s="17" t="n">
        <x:v>0.449599242273058</x:v>
      </x:c>
      <x:c r="L97" s="13" t="n">
        <x:v>0.56853725850966</x:v>
      </x:c>
      <x:c r="M97" s="13" t="n">
        <x:v>0.90064397424103</x:v>
      </x:c>
      <x:c r="N97" s="13" t="n">
        <x:v>0.992640294388224</x:v>
      </x:c>
      <x:c r="O97" s="13" t="n">
        <x:v>0.589316987740806</x:v>
      </x:c>
      <x:c r="P97" s="13" t="n">
        <x:v>0.914185639229422</x:v>
      </x:c>
      <x:c r="Q97" s="13" t="n">
        <x:v>0.98861646234676</x:v>
      </x:c>
      <x:c r="R97" s="15" t="n">
        <x:v>0.993917177254408</x:v>
      </x:c>
      <x:c r="S97" s="17" t="n">
        <x:v>27.23628676770777</x:v>
      </x:c>
      <x:c r="T97" s="17" t="n">
        <x:v>26.208131592966637</x:v>
      </x:c>
      <x:c r="U97" s="23" t="b">
        <x:v>0</x:v>
      </x:c>
    </x:row>
    <x:row r="98" ht="22" customHeight="1">
      <x:c r="A98" s="7" t="str">
        <x:v>S</x:v>
      </x:c>
      <x:c r="B98" s="9" t="n">
        <x:v>1</x:v>
      </x:c>
      <x:c r="C98" s="7" t="str">
        <x:v>Inhibitory</x:v>
      </x:c>
      <x:c r="D98" s="11" t="n">
        <x:v>9839</x:v>
      </x:c>
      <x:c r="E98" s="22" t="n">
        <x:v>0.432293497363796</x:v>
      </x:c>
      <x:c r="F98" s="23" t="b">
        <x:v>0</x:v>
      </x:c>
      <x:c r="G98" s="11" t="n">
        <x:v>2530</x:v>
      </x:c>
      <x:c r="H98" s="11" t="n">
        <x:v>2502</x:v>
      </x:c>
      <x:c r="I98" s="13" t="n">
        <x:v>0.455281626777038</x:v>
      </x:c>
      <x:c r="J98" s="13" t="n">
        <x:v>0.438408971438584</x:v>
      </x:c>
      <x:c r="K98" s="17" t="n">
        <x:v>-1.687265533845378</x:v>
      </x:c>
      <x:c r="L98" s="13" t="n">
        <x:v>0.777470355731225</x:v>
      </x:c>
      <x:c r="M98" s="13" t="n">
        <x:v>0.960079051383399</x:v>
      </x:c>
      <x:c r="N98" s="13" t="n">
        <x:v>0.997233201581028</x:v>
      </x:c>
      <x:c r="O98" s="13" t="n">
        <x:v>0.86290967226219</x:v>
      </x:c>
      <x:c r="P98" s="13" t="n">
        <x:v>0.994404476418865</x:v>
      </x:c>
      <x:c r="Q98" s="13" t="n">
        <x:v>1</x:v>
      </x:c>
      <x:c r="R98" s="15" t="n">
        <x:v>0.995275219941332</x:v>
      </x:c>
      <x:c r="S98" s="17" t="n">
        <x:v>19.183874474023824</x:v>
      </x:c>
      <x:c r="T98" s="17" t="n">
        <x:v>15.241985437389644</x:v>
      </x:c>
      <x:c r="U98" s="23" t="b">
        <x:v>0</x:v>
      </x:c>
    </x:row>
    <x:row r="99" ht="22" customHeight="1">
      <x:c r="A99" s="7" t="str">
        <x:v>S</x:v>
      </x:c>
      <x:c r="B99" s="9" t="n">
        <x:v>1</x:v>
      </x:c>
      <x:c r="C99" s="7" t="str">
        <x:v>Microglia</x:v>
      </x:c>
      <x:c r="D99" s="11" t="n">
        <x:v>486</x:v>
      </x:c>
      <x:c r="E99" s="22" t="n">
        <x:v>0.021353251318102</x:v>
      </x:c>
      <x:c r="F99" s="23" t="b">
        <x:v>1</x:v>
      </x:c>
      <x:c r="G99" s="11" t="n">
        <x:v>108</x:v>
      </x:c>
      <x:c r="H99" s="11" t="n">
        <x:v>129</x:v>
      </x:c>
      <x:c r="I99" s="13" t="n">
        <x:v>0.019434946913802</x:v>
      </x:c>
      <x:c r="J99" s="13" t="n">
        <x:v>0.022603819870335</x:v>
      </x:c>
      <x:c r="K99" s="17" t="n">
        <x:v>0.316887295653227</x:v>
      </x:c>
      <x:c r="L99" s="13" t="n">
        <x:v>0.074074074074074</x:v>
      </x:c>
      <x:c r="M99" s="13" t="n">
        <x:v>0.194444444444444</x:v>
      </x:c>
      <x:c r="N99" s="13" t="n">
        <x:v>0.592592592592592</x:v>
      </x:c>
      <x:c r="O99" s="13" t="n">
        <x:v>0.085271317829457</x:v>
      </x:c>
      <x:c r="P99" s="13" t="n">
        <x:v>0.224806201550388</x:v>
      </x:c>
      <x:c r="Q99" s="13" t="n">
        <x:v>0.682170542635659</x:v>
      </x:c>
      <x:c r="R99" s="15" t="n">
        <x:v>0.98363127913918</x:v>
      </x:c>
      <x:c r="S99" s="17" t="n">
        <x:v>94.58668731883152</x:v>
      </x:c>
      <x:c r="T99" s="17" t="n">
        <x:v>81.0866591597901</x:v>
      </x:c>
      <x:c r="U99" s="23" t="b">
        <x:v>0</x:v>
      </x:c>
    </x:row>
    <x:row r="100" ht="22" customHeight="1">
      <x:c r="A100" s="7" t="str">
        <x:v>S</x:v>
      </x:c>
      <x:c r="B100" s="9" t="n">
        <x:v>1</x:v>
      </x:c>
      <x:c r="C100" s="7" t="str">
        <x:v>OD Immature 1</x:v>
      </x:c>
      <x:c r="D100" s="11" t="n">
        <x:v>829</x:v>
      </x:c>
      <x:c r="E100" s="22" t="n">
        <x:v>0.036423550087873</x:v>
      </x:c>
      <x:c r="F100" s="23" t="b">
        <x:v>1</x:v>
      </x:c>
      <x:c r="G100" s="11" t="n">
        <x:v>183</x:v>
      </x:c>
      <x:c r="H100" s="11" t="n">
        <x:v>205</x:v>
      </x:c>
      <x:c r="I100" s="13" t="n">
        <x:v>0.032931437826165</x:v>
      </x:c>
      <x:c r="J100" s="13" t="n">
        <x:v>0.035920799018749</x:v>
      </x:c>
      <x:c r="K100" s="17" t="n">
        <x:v>0.29893611925837</x:v>
      </x:c>
      <x:c r="L100" s="13" t="n">
        <x:v>0.07103825136612</x:v>
      </x:c>
      <x:c r="M100" s="13" t="n">
        <x:v>0.316939890710382</x:v>
      </x:c>
      <x:c r="N100" s="13" t="n">
        <x:v>0.879781420765027</x:v>
      </x:c>
      <x:c r="O100" s="13" t="n">
        <x:v>0.063414634146341</x:v>
      </x:c>
      <x:c r="P100" s="13" t="n">
        <x:v>0.336585365853658</x:v>
      </x:c>
      <x:c r="Q100" s="13" t="n">
        <x:v>0.892682926829268</x:v>
      </x:c>
      <x:c r="R100" s="15" t="n">
        <x:v>0.99460434014304</x:v>
      </x:c>
      <x:c r="S100" s="17" t="n">
        <x:v>68.96492700544671</x:v>
      </x:c>
      <x:c r="T100" s="17" t="n">
        <x:v>64.1888616118273</x:v>
      </x:c>
      <x:c r="U100" s="23" t="b">
        <x:v>0</x:v>
      </x:c>
    </x:row>
    <x:row r="101" ht="22" customHeight="1">
      <x:c r="A101" s="7" t="str">
        <x:v>S</x:v>
      </x:c>
      <x:c r="B101" s="9" t="n">
        <x:v>1</x:v>
      </x:c>
      <x:c r="C101" s="7" t="str">
        <x:v>OD Immature 2</x:v>
      </x:c>
      <x:c r="D101" s="11" t="n">
        <x:v>28</x:v>
      </x:c>
      <x:c r="E101" s="22" t="n">
        <x:v>0.001230228471002</x:v>
      </x:c>
      <x:c r="F101" s="23" t="b">
        <x:v>1</x:v>
      </x:c>
      <x:c r="G101" s="11" t="n">
        <x:v>5</x:v>
      </x:c>
      <x:c r="H101" s="11" t="n">
        <x:v>7</x:v>
      </x:c>
      <x:c r="I101" s="13" t="n">
        <x:v>0.000899766060824</x:v>
      </x:c>
      <x:c r="J101" s="13" t="n">
        <x:v>0.001226563868933</x:v>
      </x:c>
      <x:c r="K101" s="17" t="n">
        <x:v>0.03267978081087</x:v>
      </x:c>
      <x:c r="L101" s="13" t="n">
        <x:v>0</x:v>
      </x:c>
      <x:c r="M101" s="13" t="n">
        <x:v>0</x:v>
      </x:c>
      <x:c r="N101" s="13" t="n">
        <x:v>0</x:v>
      </x:c>
      <x:c r="O101" s="13" t="n">
        <x:v>0</x:v>
      </x:c>
      <x:c r="P101" s="13" t="n">
        <x:v>0</x:v>
      </x:c>
      <x:c r="Q101" s="13" t="n">
        <x:v>0</x:v>
      </x:c>
      <x:c r="R101" s="15" t="n">
        <x:v>0.602705066057426</x:v>
      </x:c>
      <x:c r="S101" s="17" t="n">
        <x:v>509.239275942477</x:v>
      </x:c>
      <x:c r="T101" s="17" t="n">
        <x:v>217.5289299901308</x:v>
      </x:c>
      <x:c r="U101" s="23" t="b">
        <x:v>0</x:v>
      </x:c>
    </x:row>
    <x:row r="102" ht="22" customHeight="1">
      <x:c r="A102" s="7" t="str">
        <x:v>S</x:v>
      </x:c>
      <x:c r="B102" s="9" t="n">
        <x:v>1</x:v>
      </x:c>
      <x:c r="C102" s="7" t="str">
        <x:v>OD Mature 1</x:v>
      </x:c>
      <x:c r="D102" s="11" t="n">
        <x:v>209</x:v>
      </x:c>
      <x:c r="E102" s="22" t="n">
        <x:v>0.009182776801406</x:v>
      </x:c>
      <x:c r="F102" s="23" t="b">
        <x:v>1</x:v>
      </x:c>
      <x:c r="G102" s="11" t="n">
        <x:v>29</x:v>
      </x:c>
      <x:c r="H102" s="11" t="n">
        <x:v>58</x:v>
      </x:c>
      <x:c r="I102" s="13" t="n">
        <x:v>0.00521864315278</x:v>
      </x:c>
      <x:c r="J102" s="13" t="n">
        <x:v>0.010162957771158</x:v>
      </x:c>
      <x:c r="K102" s="17" t="n">
        <x:v>0.494431461837795</x:v>
      </x:c>
      <x:c r="L102" s="13" t="n">
        <x:v>0.03448275862069</x:v>
      </x:c>
      <x:c r="M102" s="13" t="n">
        <x:v>0.03448275862069</x:v>
      </x:c>
      <x:c r="N102" s="13" t="n">
        <x:v>0.448275862068966</x:v>
      </x:c>
      <x:c r="O102" s="13" t="n">
        <x:v>0.017241379310345</x:v>
      </x:c>
      <x:c r="P102" s="13" t="n">
        <x:v>0.03448275862069</x:v>
      </x:c>
      <x:c r="Q102" s="13" t="n">
        <x:v>0.362068965517241</x:v>
      </x:c>
      <x:c r="R102" s="15" t="n">
        <x:v>0.980849414360334</x:v>
      </x:c>
      <x:c r="S102" s="17" t="n">
        <x:v>121.75288717348046</x:v>
      </x:c>
      <x:c r="T102" s="17" t="n">
        <x:v>141.74334480307445</x:v>
      </x:c>
      <x:c r="U102" s="23" t="b">
        <x:v>0</x:v>
      </x:c>
    </x:row>
    <x:row r="103" ht="22" customHeight="1">
      <x:c r="A103" s="7" t="str">
        <x:v>S</x:v>
      </x:c>
      <x:c r="B103" s="9" t="n">
        <x:v>1</x:v>
      </x:c>
      <x:c r="C103" s="7" t="str">
        <x:v>OD Mature 2</x:v>
      </x:c>
      <x:c r="D103" s="11" t="n">
        <x:v>956</x:v>
      </x:c>
      <x:c r="E103" s="22" t="n">
        <x:v>0.042003514938488</x:v>
      </x:c>
      <x:c r="F103" s="23" t="b">
        <x:v>1</x:v>
      </x:c>
      <x:c r="G103" s="11" t="n">
        <x:v>197</x:v>
      </x:c>
      <x:c r="H103" s="11" t="n">
        <x:v>235</x:v>
      </x:c>
      <x:c r="I103" s="13" t="n">
        <x:v>0.035450782796473</x:v>
      </x:c>
      <x:c r="J103" s="13" t="n">
        <x:v>0.041177501314176</x:v>
      </x:c>
      <x:c r="K103" s="17" t="n">
        <x:v>0.572671851770266</x:v>
      </x:c>
      <x:c r="L103" s="13" t="n">
        <x:v>0.289340101522843</x:v>
      </x:c>
      <x:c r="M103" s="13" t="n">
        <x:v>0.583756345177665</x:v>
      </x:c>
      <x:c r="N103" s="13" t="n">
        <x:v>0.852791878172589</x:v>
      </x:c>
      <x:c r="O103" s="13" t="n">
        <x:v>0.293617021276596</x:v>
      </x:c>
      <x:c r="P103" s="13" t="n">
        <x:v>0.621276595744681</x:v>
      </x:c>
      <x:c r="Q103" s="13" t="n">
        <x:v>0.851063829787234</x:v>
      </x:c>
      <x:c r="R103" s="15" t="n">
        <x:v>0.997494946759957</x:v>
      </x:c>
      <x:c r="S103" s="17" t="n">
        <x:v>60.00874348325497</x:v>
      </x:c>
      <x:c r="T103" s="17" t="n">
        <x:v>55.02192565987577</x:v>
      </x:c>
      <x:c r="U103" s="23" t="b">
        <x:v>0</x:v>
      </x:c>
    </x:row>
    <x:row r="104" ht="22" customHeight="1">
      <x:c r="A104" s="7" t="str">
        <x:v>S</x:v>
      </x:c>
      <x:c r="B104" s="9" t="n">
        <x:v>1</x:v>
      </x:c>
      <x:c r="C104" s="7" t="str">
        <x:v>OD Mature 3</x:v>
      </x:c>
      <x:c r="D104" s="11" t="n">
        <x:v>11</x:v>
      </x:c>
      <x:c r="E104" s="22" t="n">
        <x:v>0.000483304042179</x:v>
      </x:c>
      <x:c r="F104" s="23" t="b">
        <x:v>1</x:v>
      </x:c>
      <x:c r="G104" s="11" t="n">
        <x:v>3</x:v>
      </x:c>
      <x:c r="H104" s="11" t="n">
        <x:v>1</x:v>
      </x:c>
      <x:c r="I104" s="13" t="n">
        <x:v>0.000539859636494</x:v>
      </x:c>
      <x:c r="J104" s="13" t="n">
        <x:v>0.000175223409848</x:v>
      </x:c>
      <x:c r="K104" s="17" t="n">
        <x:v>-0.036463622664696</x:v>
      </x:c>
      <x:c r="L104" s="13" t="n">
        <x:v>0</x:v>
      </x:c>
      <x:c r="M104" s="13" t="n">
        <x:v>0</x:v>
      </x:c>
      <x:c r="N104" s="13" t="n">
        <x:v>0</x:v>
      </x:c>
      <x:c r="O104" s="13" t="n">
        <x:v>0</x:v>
      </x:c>
      <x:c r="P104" s="13" t="n">
        <x:v>0</x:v>
      </x:c>
      <x:c r="Q104" s="13" t="n">
        <x:v>0</x:v>
      </x:c>
      <x:c r="R104" s="15" t="n">
        <x:v>0.836078858728281</x:v>
      </x:c>
      <x:c r="S104" s="17" t="n">
        <x:v>1313.2825178478993</x:v>
      </x:c>
      <x:c r="T104" s="17" t="n">
        <x:v>935.8220230466748</x:v>
      </x:c>
      <x:c r="U104" s="23" t="b">
        <x:v>0</x:v>
      </x:c>
    </x:row>
    <x:row r="105" ht="22" customHeight="1">
      <x:c r="A105" s="7" t="str">
        <x:v>S</x:v>
      </x:c>
      <x:c r="B105" s="9" t="n">
        <x:v>1</x:v>
      </x:c>
      <x:c r="C105" s="7" t="str">
        <x:v>OD Mature 4</x:v>
      </x:c>
      <x:c r="D105" s="11" t="n">
        <x:v>36</x:v>
      </x:c>
      <x:c r="E105" s="22" t="n">
        <x:v>0.001581722319859</x:v>
      </x:c>
      <x:c r="F105" s="23" t="b">
        <x:v>1</x:v>
      </x:c>
      <x:c r="G105" s="11" t="n">
        <x:v>11</x:v>
      </x:c>
      <x:c r="H105" s="11" t="n">
        <x:v>9</x:v>
      </x:c>
      <x:c r="I105" s="13" t="n">
        <x:v>0.001979485333813</x:v>
      </x:c>
      <x:c r="J105" s="13" t="n">
        <x:v>0.001577010688628</x:v>
      </x:c>
      <x:c r="K105" s="17" t="n">
        <x:v>-0.040247464518521</x:v>
      </x:c>
      <x:c r="L105" s="13" t="n">
        <x:v>0</x:v>
      </x:c>
      <x:c r="M105" s="13" t="n">
        <x:v>0</x:v>
      </x:c>
      <x:c r="N105" s="13" t="n">
        <x:v>0.090909090909091</x:v>
      </x:c>
      <x:c r="O105" s="13" t="n">
        <x:v>0</x:v>
      </x:c>
      <x:c r="P105" s="13" t="n">
        <x:v>0</x:v>
      </x:c>
      <x:c r="Q105" s="13" t="n">
        <x:v>0.222222222222222</x:v>
      </x:c>
      <x:c r="R105" s="15" t="n">
        <x:v>0.89910178451064</x:v>
      </x:c>
      <x:c r="S105" s="17" t="n">
        <x:v>446.3291508081346</x:v>
      </x:c>
      <x:c r="T105" s="17" t="n">
        <x:v>187.83652974990576</x:v>
      </x:c>
      <x:c r="U105" s="23" t="b">
        <x:v>0</x:v>
      </x:c>
    </x:row>
    <x:row r="106" ht="22" customHeight="1">
      <x:c r="A106" s="7" t="str">
        <x:v>S</x:v>
      </x:c>
      <x:c r="B106" s="9" t="n">
        <x:v>1</x:v>
      </x:c>
      <x:c r="C106" s="7" t="str">
        <x:v>Pericytes</x:v>
      </x:c>
      <x:c r="D106" s="11" t="n">
        <x:v>167</x:v>
      </x:c>
      <x:c r="E106" s="22" t="n">
        <x:v>0.007337434094903</x:v>
      </x:c>
      <x:c r="F106" s="23" t="b">
        <x:v>1</x:v>
      </x:c>
      <x:c r="G106" s="11" t="n">
        <x:v>37</x:v>
      </x:c>
      <x:c r="H106" s="11" t="n">
        <x:v>27</x:v>
      </x:c>
      <x:c r="I106" s="13" t="n">
        <x:v>0.006658268850099</x:v>
      </x:c>
      <x:c r="J106" s="13" t="n">
        <x:v>0.004731032065884</x:v>
      </x:c>
      <x:c r="K106" s="17" t="n">
        <x:v>-0.192723678421497</x:v>
      </x:c>
      <x:c r="L106" s="13" t="n">
        <x:v>0.027027027027027</x:v>
      </x:c>
      <x:c r="M106" s="13" t="n">
        <x:v>0.081081081081081</x:v>
      </x:c>
      <x:c r="N106" s="13" t="n">
        <x:v>0.324324324324324</x:v>
      </x:c>
      <x:c r="O106" s="13" t="n">
        <x:v>0.037037037037037</x:v>
      </x:c>
      <x:c r="P106" s="13" t="n">
        <x:v>0.185185185185185</x:v>
      </x:c>
      <x:c r="Q106" s="13" t="n">
        <x:v>0.518518518518518</x:v>
      </x:c>
      <x:c r="R106" s="15" t="n">
        <x:v>0.976327142276108</x:v>
      </x:c>
      <x:c r="S106" s="17" t="n">
        <x:v>191.2027947424155</x:v>
      </x:c>
      <x:c r="T106" s="17" t="n">
        <x:v>160.57121428146985</x:v>
      </x:c>
      <x:c r="U106" s="23" t="b">
        <x:v>0</x:v>
      </x:c>
    </x:row>
    <x:row r="107" ht="22" customHeight="1">
      <x:c r="A107" s="7" t="str">
        <x:v>S</x:v>
      </x:c>
      <x:c r="B107" s="9" t="n">
        <x:v>2</x:v>
      </x:c>
      <x:c r="C107" s="7" t="str">
        <x:v>Astrocyte</x:v>
      </x:c>
      <x:c r="D107" s="11" t="n">
        <x:v>2738</x:v>
      </x:c>
      <x:c r="E107" s="22" t="n">
        <x:v>0.122281273726051</x:v>
      </x:c>
      <x:c r="F107" s="23" t="b">
        <x:v>0</x:v>
      </x:c>
      <x:c r="G107" s="11" t="n">
        <x:v>668</x:v>
      </x:c>
      <x:c r="H107" s="11" t="n">
        <x:v>649</x:v>
      </x:c>
      <x:c r="I107" s="13" t="n">
        <x:v>0.112723590955113</x:v>
      </x:c>
      <x:c r="J107" s="13" t="n">
        <x:v>0.114260563380282</x:v>
      </x:c>
      <x:c r="K107" s="17" t="n">
        <x:v>0.153697242516863</x:v>
      </x:c>
      <x:c r="L107" s="13" t="n">
        <x:v>0.29940119760479</x:v>
      </x:c>
      <x:c r="M107" s="13" t="n">
        <x:v>0.688622754491018</x:v>
      </x:c>
      <x:c r="N107" s="13" t="n">
        <x:v>0.967065868263473</x:v>
      </x:c>
      <x:c r="O107" s="13" t="n">
        <x:v>0.359013867488444</x:v>
      </x:c>
      <x:c r="P107" s="13" t="n">
        <x:v>0.816640986132512</x:v>
      </x:c>
      <x:c r="Q107" s="13" t="n">
        <x:v>0.99537750385208</x:v>
      </x:c>
      <x:c r="R107" s="15" t="n">
        <x:v>0.9957064663589</x:v>
      </x:c>
      <x:c r="S107" s="17" t="n">
        <x:v>41.84747992842681</x:v>
      </x:c>
      <x:c r="T107" s="17" t="n">
        <x:v>34.70764330739854</x:v>
      </x:c>
      <x:c r="U107" s="23" t="b">
        <x:v>0</x:v>
      </x:c>
    </x:row>
    <x:row r="108" ht="22" customHeight="1">
      <x:c r="A108" s="7" t="str">
        <x:v>S</x:v>
      </x:c>
      <x:c r="B108" s="9" t="n">
        <x:v>2</x:v>
      </x:c>
      <x:c r="C108" s="7" t="str">
        <x:v>Endothelial 1</x:v>
      </x:c>
      <x:c r="D108" s="11" t="n">
        <x:v>1190</x:v>
      </x:c>
      <x:c r="E108" s="22" t="n">
        <x:v>0.053146353445581</x:v>
      </x:c>
      <x:c r="F108" s="23" t="b">
        <x:v>0</x:v>
      </x:c>
      <x:c r="G108" s="11" t="n">
        <x:v>290</x:v>
      </x:c>
      <x:c r="H108" s="11" t="n">
        <x:v>287</x:v>
      </x:c>
      <x:c r="I108" s="13" t="n">
        <x:v>0.048936888288896</x:v>
      </x:c>
      <x:c r="J108" s="13" t="n">
        <x:v>0.050528169014084</x:v>
      </x:c>
      <x:c r="K108" s="17" t="n">
        <x:v>0.159128072518812</x:v>
      </x:c>
      <x:c r="L108" s="13" t="n">
        <x:v>0.158620689655172</x:v>
      </x:c>
      <x:c r="M108" s="13" t="n">
        <x:v>0.431034482758621</x:v>
      </x:c>
      <x:c r="N108" s="13" t="n">
        <x:v>0.793103448275862</x:v>
      </x:c>
      <x:c r="O108" s="13" t="n">
        <x:v>0.21602787456446</x:v>
      </x:c>
      <x:c r="P108" s="13" t="n">
        <x:v>0.581881533101045</x:v>
      </x:c>
      <x:c r="Q108" s="13" t="n">
        <x:v>0.940766550522648</x:v>
      </x:c>
      <x:c r="R108" s="15" t="n">
        <x:v>0.99603746874463</x:v>
      </x:c>
      <x:c r="S108" s="17" t="n">
        <x:v>71.74003654271058</x:v>
      </x:c>
      <x:c r="T108" s="17" t="n">
        <x:v>49.206355662506994</x:v>
      </x:c>
      <x:c r="U108" s="23" t="b">
        <x:v>0</x:v>
      </x:c>
    </x:row>
    <x:row r="109" ht="22" customHeight="1">
      <x:c r="A109" s="7" t="str">
        <x:v>S</x:v>
      </x:c>
      <x:c r="B109" s="9" t="n">
        <x:v>2</x:v>
      </x:c>
      <x:c r="C109" s="7" t="str">
        <x:v>Endothelial 2</x:v>
      </x:c>
      <x:c r="D109" s="11" t="n">
        <x:v>127</x:v>
      </x:c>
      <x:c r="E109" s="22" t="n">
        <x:v>0.005671921754276</x:v>
      </x:c>
      <x:c r="F109" s="23" t="b">
        <x:v>1</x:v>
      </x:c>
      <x:c r="G109" s="11" t="n">
        <x:v>17</x:v>
      </x:c>
      <x:c r="H109" s="11" t="n">
        <x:v>35</x:v>
      </x:c>
      <x:c r="I109" s="13" t="n">
        <x:v>0.002868714141073</x:v>
      </x:c>
      <x:c r="J109" s="13" t="n">
        <x:v>0.006161971830986</x:v>
      </x:c>
      <x:c r="K109" s="17" t="n">
        <x:v>0.329325768991268</x:v>
      </x:c>
      <x:c r="L109" s="13" t="n">
        <x:v>0</x:v>
      </x:c>
      <x:c r="M109" s="13" t="n">
        <x:v>0</x:v>
      </x:c>
      <x:c r="N109" s="13" t="n">
        <x:v>0.176470588235294</x:v>
      </x:c>
      <x:c r="O109" s="13" t="n">
        <x:v>0</x:v>
      </x:c>
      <x:c r="P109" s="13" t="n">
        <x:v>0</x:v>
      </x:c>
      <x:c r="Q109" s="13" t="n">
        <x:v>0.114285714285714</x:v>
      </x:c>
      <x:c r="R109" s="15" t="n">
        <x:v>0.938651766402382</x:v>
      </x:c>
      <x:c r="S109" s="17" t="n">
        <x:v>189.8108280913028</x:v>
      </x:c>
      <x:c r="T109" s="17" t="n">
        <x:v>225.3183227160184</x:v>
      </x:c>
      <x:c r="U109" s="23" t="b">
        <x:v>0</x:v>
      </x:c>
    </x:row>
    <x:row r="110" ht="22" customHeight="1">
      <x:c r="A110" s="7" t="str">
        <x:v>S</x:v>
      </x:c>
      <x:c r="B110" s="9" t="n">
        <x:v>2</x:v>
      </x:c>
      <x:c r="C110" s="7" t="str">
        <x:v>Endothelial 3</x:v>
      </x:c>
      <x:c r="D110" s="11" t="n">
        <x:v>442</x:v>
      </x:c>
      <x:c r="E110" s="22" t="n">
        <x:v>0.01974007413693</x:v>
      </x:c>
      <x:c r="F110" s="23" t="b">
        <x:v>1</x:v>
      </x:c>
      <x:c r="G110" s="11" t="n">
        <x:v>107</x:v>
      </x:c>
      <x:c r="H110" s="11" t="n">
        <x:v>105</x:v>
      </x:c>
      <x:c r="I110" s="13" t="n">
        <x:v>0.018056024299696</x:v>
      </x:c>
      <x:c r="J110" s="13" t="n">
        <x:v>0.018485915492958</x:v>
      </x:c>
      <x:c r="K110" s="17" t="n">
        <x:v>0.042989119326149</x:v>
      </x:c>
      <x:c r="L110" s="13" t="n">
        <x:v>0.065420560747664</x:v>
      </x:c>
      <x:c r="M110" s="13" t="n">
        <x:v>0.186915887850467</x:v>
      </x:c>
      <x:c r="N110" s="13" t="n">
        <x:v>0.523364485981308</x:v>
      </x:c>
      <x:c r="O110" s="13" t="n">
        <x:v>0.076190476190476</x:v>
      </x:c>
      <x:c r="P110" s="13" t="n">
        <x:v>0.19047619047619</x:v>
      </x:c>
      <x:c r="Q110" s="13" t="n">
        <x:v>0.571428571428571</x:v>
      </x:c>
      <x:c r="R110" s="15" t="n">
        <x:v>0.985151715076043</x:v>
      </x:c>
      <x:c r="S110" s="17" t="n">
        <x:v>100.14083904101685</x:v>
      </x:c>
      <x:c r="T110" s="17" t="n">
        <x:v>92.56848836882736</x:v>
      </x:c>
      <x:c r="U110" s="23" t="b">
        <x:v>0</x:v>
      </x:c>
    </x:row>
    <x:row r="111" ht="22" customHeight="1">
      <x:c r="A111" s="7" t="str">
        <x:v>S</x:v>
      </x:c>
      <x:c r="B111" s="9" t="n">
        <x:v>2</x:v>
      </x:c>
      <x:c r="C111" s="7" t="str">
        <x:v>Ependymal</x:v>
      </x:c>
      <x:c r="D111" s="11" t="n">
        <x:v>1014</x:v>
      </x:c>
      <x:c r="E111" s="22" t="n">
        <x:v>0.045286052431781</x:v>
      </x:c>
      <x:c r="F111" s="23" t="b">
        <x:v>1</x:v>
      </x:c>
      <x:c r="G111" s="11" t="n">
        <x:v>273</x:v>
      </x:c>
      <x:c r="H111" s="11" t="n">
        <x:v>269</x:v>
      </x:c>
      <x:c r="I111" s="13" t="n">
        <x:v>0.046068174147823</x:v>
      </x:c>
      <x:c r="J111" s="13" t="n">
        <x:v>0.047359154929577</x:v>
      </x:c>
      <x:c r="K111" s="17" t="n">
        <x:v>0.129098078175431</x:v>
      </x:c>
      <x:c r="L111" s="13" t="n">
        <x:v>0.857142857142857</x:v>
      </x:c>
      <x:c r="M111" s="13" t="n">
        <x:v>0.978021978021978</x:v>
      </x:c>
      <x:c r="N111" s="13" t="n">
        <x:v>1</x:v>
      </x:c>
      <x:c r="O111" s="13" t="n">
        <x:v>0.784386617100372</x:v>
      </x:c>
      <x:c r="P111" s="13" t="n">
        <x:v>0.973977695167286</x:v>
      </x:c>
      <x:c r="Q111" s="13" t="n">
        <x:v>1</x:v>
      </x:c>
      <x:c r="R111" s="15" t="n">
        <x:v>0.996073876160952</x:v>
      </x:c>
      <x:c r="S111" s="17" t="n">
        <x:v>15.103990271697066</x:v>
      </x:c>
      <x:c r="T111" s="17" t="n">
        <x:v>16.030640962182048</x:v>
      </x:c>
      <x:c r="U111" s="23" t="b">
        <x:v>0</x:v>
      </x:c>
    </x:row>
    <x:row r="112" ht="22" customHeight="1">
      <x:c r="A112" s="7" t="str">
        <x:v>S</x:v>
      </x:c>
      <x:c r="B112" s="9" t="n">
        <x:v>2</x:v>
      </x:c>
      <x:c r="C112" s="7" t="str">
        <x:v>Excitatory</x:v>
      </x:c>
      <x:c r="D112" s="11" t="n">
        <x:v>4575</x:v>
      </x:c>
      <x:c r="E112" s="22" t="n">
        <x:v>0.20432316555759</x:v>
      </x:c>
      <x:c r="F112" s="23" t="b">
        <x:v>0</x:v>
      </x:c>
      <x:c r="G112" s="11" t="n">
        <x:v>1212</x:v>
      </x:c>
      <x:c r="H112" s="11" t="n">
        <x:v>1140</x:v>
      </x:c>
      <x:c r="I112" s="13" t="n">
        <x:v>0.204522443469457</x:v>
      </x:c>
      <x:c r="J112" s="13" t="n">
        <x:v>0.200704225352113</x:v>
      </x:c>
      <x:c r="K112" s="17" t="n">
        <x:v>-0.381821811734395</x:v>
      </x:c>
      <x:c r="L112" s="13" t="n">
        <x:v>0.498349834983498</x:v>
      </x:c>
      <x:c r="M112" s="13" t="n">
        <x:v>0.871287128712871</x:v>
      </x:c>
      <x:c r="N112" s="13" t="n">
        <x:v>0.987623762376238</x:v>
      </x:c>
      <x:c r="O112" s="13" t="n">
        <x:v>0.587719298245614</x:v>
      </x:c>
      <x:c r="P112" s="13" t="n">
        <x:v>0.924561403508772</x:v>
      </x:c>
      <x:c r="Q112" s="13" t="n">
        <x:v>0.998245614035088</x:v>
      </x:c>
      <x:c r="R112" s="15" t="n">
        <x:v>0.995520329080792</x:v>
      </x:c>
      <x:c r="S112" s="17" t="n">
        <x:v>29.604827390330307</x:v>
      </x:c>
      <x:c r="T112" s="17" t="n">
        <x:v>25.049365827128533</x:v>
      </x:c>
      <x:c r="U112" s="23" t="b">
        <x:v>0</x:v>
      </x:c>
    </x:row>
    <x:row r="113" ht="22" customHeight="1">
      <x:c r="A113" s="7" t="str">
        <x:v>S</x:v>
      </x:c>
      <x:c r="B113" s="9" t="n">
        <x:v>2</x:v>
      </x:c>
      <x:c r="C113" s="7" t="str">
        <x:v>Inhibitory</x:v>
      </x:c>
      <x:c r="D113" s="11" t="n">
        <x:v>9639</x:v>
      </x:c>
      <x:c r="E113" s="22" t="n">
        <x:v>0.430485462909205</x:v>
      </x:c>
      <x:c r="F113" s="23" t="b">
        <x:v>0</x:v>
      </x:c>
      <x:c r="G113" s="11" t="n">
        <x:v>2730</x:v>
      </x:c>
      <x:c r="H113" s="11" t="n">
        <x:v>2569</x:v>
      </x:c>
      <x:c r="I113" s="13" t="n">
        <x:v>0.460681741478232</x:v>
      </x:c>
      <x:c r="J113" s="13" t="n">
        <x:v>0.452288732394366</x:v>
      </x:c>
      <x:c r="K113" s="17" t="n">
        <x:v>-0.839300908386537</x:v>
      </x:c>
      <x:c r="L113" s="13" t="n">
        <x:v>0.76007326007326</x:v>
      </x:c>
      <x:c r="M113" s="13" t="n">
        <x:v>0.947985347985348</x:v>
      </x:c>
      <x:c r="N113" s="13" t="n">
        <x:v>0.992307692307692</x:v>
      </x:c>
      <x:c r="O113" s="13" t="n">
        <x:v>0.88633709614636</x:v>
      </x:c>
      <x:c r="P113" s="13" t="n">
        <x:v>0.987933047878552</x:v>
      </x:c>
      <x:c r="Q113" s="13" t="n">
        <x:v>0.99766446087972</x:v>
      </x:c>
      <x:c r="R113" s="15" t="n">
        <x:v>0.99673935512137</x:v>
      </x:c>
      <x:c r="S113" s="17" t="n">
        <x:v>20.236563142494344</x:v>
      </x:c>
      <x:c r="T113" s="17" t="n">
        <x:v>15.196999107304068</x:v>
      </x:c>
      <x:c r="U113" s="23" t="b">
        <x:v>0</x:v>
      </x:c>
    </x:row>
    <x:row r="114" ht="22" customHeight="1">
      <x:c r="A114" s="7" t="str">
        <x:v>S</x:v>
      </x:c>
      <x:c r="B114" s="9" t="n">
        <x:v>2</x:v>
      </x:c>
      <x:c r="C114" s="7" t="str">
        <x:v>Microglia</x:v>
      </x:c>
      <x:c r="D114" s="11" t="n">
        <x:v>454</x:v>
      </x:c>
      <x:c r="E114" s="22" t="n">
        <x:v>0.020276003751507</x:v>
      </x:c>
      <x:c r="F114" s="23" t="b">
        <x:v>1</x:v>
      </x:c>
      <x:c r="G114" s="11" t="n">
        <x:v>140</x:v>
      </x:c>
      <x:c r="H114" s="11" t="n">
        <x:v>114</x:v>
      </x:c>
      <x:c r="I114" s="13" t="n">
        <x:v>0.023624704691191</x:v>
      </x:c>
      <x:c r="J114" s="13" t="n">
        <x:v>0.020070422535211</x:v>
      </x:c>
      <x:c r="K114" s="17" t="n">
        <x:v>-0.355428215598009</x:v>
      </x:c>
      <x:c r="L114" s="13" t="n">
        <x:v>0.035714285714286</x:v>
      </x:c>
      <x:c r="M114" s="13" t="n">
        <x:v>0.192857142857143</x:v>
      </x:c>
      <x:c r="N114" s="13" t="n">
        <x:v>0.521428571428571</x:v>
      </x:c>
      <x:c r="O114" s="13" t="n">
        <x:v>0.052631578947368</x:v>
      </x:c>
      <x:c r="P114" s="13" t="n">
        <x:v>0.289473684210526</x:v>
      </x:c>
      <x:c r="Q114" s="13" t="n">
        <x:v>0.754385964912281</x:v>
      </x:c>
      <x:c r="R114" s="15" t="n">
        <x:v>0.985696502627976</x:v>
      </x:c>
      <x:c r="S114" s="17" t="n">
        <x:v>105.20703955390508</x:v>
      </x:c>
      <x:c r="T114" s="17" t="n">
        <x:v>76.98153733416007</x:v>
      </x:c>
      <x:c r="U114" s="23" t="b">
        <x:v>0</x:v>
      </x:c>
    </x:row>
    <x:row r="115" ht="22" customHeight="1">
      <x:c r="A115" s="7" t="str">
        <x:v>S</x:v>
      </x:c>
      <x:c r="B115" s="9" t="n">
        <x:v>2</x:v>
      </x:c>
      <x:c r="C115" s="7" t="str">
        <x:v>OD Immature 1</x:v>
      </x:c>
      <x:c r="D115" s="11" t="n">
        <x:v>826</x:v>
      </x:c>
      <x:c r="E115" s="22" t="n">
        <x:v>0.036889821803403</x:v>
      </x:c>
      <x:c r="F115" s="23" t="b">
        <x:v>1</x:v>
      </x:c>
      <x:c r="G115" s="11" t="n">
        <x:v>186</x:v>
      </x:c>
      <x:c r="H115" s="11" t="n">
        <x:v>191</x:v>
      </x:c>
      <x:c r="I115" s="13" t="n">
        <x:v>0.031387107661154</x:v>
      </x:c>
      <x:c r="J115" s="13" t="n">
        <x:v>0.03362676056338</x:v>
      </x:c>
      <x:c r="K115" s="17" t="n">
        <x:v>0.223965290222604</x:v>
      </x:c>
      <x:c r="L115" s="13" t="n">
        <x:v>0.102150537634409</x:v>
      </x:c>
      <x:c r="M115" s="13" t="n">
        <x:v>0.311827956989247</x:v>
      </x:c>
      <x:c r="N115" s="13" t="n">
        <x:v>0.795698924731183</x:v>
      </x:c>
      <x:c r="O115" s="13" t="n">
        <x:v>0.12565445026178</x:v>
      </x:c>
      <x:c r="P115" s="13" t="n">
        <x:v>0.37696335078534</x:v>
      </x:c>
      <x:c r="Q115" s="13" t="n">
        <x:v>0.931937172774869</x:v>
      </x:c>
      <x:c r="R115" s="15" t="n">
        <x:v>0.993233498218724</x:v>
      </x:c>
      <x:c r="S115" s="17" t="n">
        <x:v>73.05494637344357</x:v>
      </x:c>
      <x:c r="T115" s="17" t="n">
        <x:v>57.546808608126696</x:v>
      </x:c>
      <x:c r="U115" s="23" t="b">
        <x:v>0</x:v>
      </x:c>
    </x:row>
    <x:row r="116" ht="22" customHeight="1">
      <x:c r="A116" s="7" t="str">
        <x:v>S</x:v>
      </x:c>
      <x:c r="B116" s="9" t="n">
        <x:v>2</x:v>
      </x:c>
      <x:c r="C116" s="7" t="str">
        <x:v>OD Immature 2</x:v>
      </x:c>
      <x:c r="D116" s="11" t="n">
        <x:v>28</x:v>
      </x:c>
      <x:c r="E116" s="22" t="n">
        <x:v>0.001250502434014</x:v>
      </x:c>
      <x:c r="F116" s="23" t="b">
        <x:v>1</x:v>
      </x:c>
      <x:c r="G116" s="11" t="n">
        <x:v>5</x:v>
      </x:c>
      <x:c r="H116" s="11" t="n">
        <x:v>6</x:v>
      </x:c>
      <x:c r="I116" s="13" t="n">
        <x:v>0.000843739453257</x:v>
      </x:c>
      <x:c r="J116" s="13" t="n">
        <x:v>0.001056338028169</x:v>
      </x:c>
      <x:c r="K116" s="17" t="n">
        <x:v>0.021259857491218</x:v>
      </x:c>
      <x:c r="L116" s="13" t="n">
        <x:v>0</x:v>
      </x:c>
      <x:c r="M116" s="13" t="n">
        <x:v>0</x:v>
      </x:c>
      <x:c r="N116" s="13" t="n">
        <x:v>0</x:v>
      </x:c>
      <x:c r="O116" s="13" t="n">
        <x:v>0</x:v>
      </x:c>
      <x:c r="P116" s="13" t="n">
        <x:v>0</x:v>
      </x:c>
      <x:c r="Q116" s="13" t="n">
        <x:v>0</x:v>
      </x:c>
      <x:c r="R116" s="15" t="n">
        <x:v>0.760037188565166</x:v>
      </x:c>
      <x:c r="S116" s="17" t="n">
        <x:v>273.3254127814963</x:v>
      </x:c>
      <x:c r="T116" s="17" t="n">
        <x:v>403.2761842085534</x:v>
      </x:c>
      <x:c r="U116" s="23" t="b">
        <x:v>0</x:v>
      </x:c>
    </x:row>
    <x:row r="117" ht="22" customHeight="1">
      <x:c r="A117" s="7" t="str">
        <x:v>S</x:v>
      </x:c>
      <x:c r="B117" s="9" t="n">
        <x:v>2</x:v>
      </x:c>
      <x:c r="C117" s="7" t="str">
        <x:v>OD Mature 1</x:v>
      </x:c>
      <x:c r="D117" s="11" t="n">
        <x:v>195</x:v>
      </x:c>
      <x:c r="E117" s="22" t="n">
        <x:v>0.008708856236881</x:v>
      </x:c>
      <x:c r="F117" s="23" t="b">
        <x:v>1</x:v>
      </x:c>
      <x:c r="G117" s="11" t="n">
        <x:v>43</x:v>
      </x:c>
      <x:c r="H117" s="11" t="n">
        <x:v>37</x:v>
      </x:c>
      <x:c r="I117" s="13" t="n">
        <x:v>0.007256159298009</x:v>
      </x:c>
      <x:c r="J117" s="13" t="n">
        <x:v>0.006514084507042</x:v>
      </x:c>
      <x:c r="K117" s="17" t="n">
        <x:v>-0.074207479096652</x:v>
      </x:c>
      <x:c r="L117" s="13" t="n">
        <x:v>0.046511627906977</x:v>
      </x:c>
      <x:c r="M117" s="13" t="n">
        <x:v>0.13953488372093</x:v>
      </x:c>
      <x:c r="N117" s="13" t="n">
        <x:v>0.372093023255814</x:v>
      </x:c>
      <x:c r="O117" s="13" t="n">
        <x:v>0.027027027027027</x:v>
      </x:c>
      <x:c r="P117" s="13" t="n">
        <x:v>0.189189189189189</x:v>
      </x:c>
      <x:c r="Q117" s="13" t="n">
        <x:v>0.648648648648649</x:v>
      </x:c>
      <x:c r="R117" s="15" t="n">
        <x:v>0.980660494471042</x:v>
      </x:c>
      <x:c r="S117" s="17" t="n">
        <x:v>150.1819219426732</x:v>
      </x:c>
      <x:c r="T117" s="17" t="n">
        <x:v>96.51712742165446</x:v>
      </x:c>
      <x:c r="U117" s="23" t="b">
        <x:v>0</x:v>
      </x:c>
    </x:row>
    <x:row r="118" ht="22" customHeight="1">
      <x:c r="A118" s="7" t="str">
        <x:v>S</x:v>
      </x:c>
      <x:c r="B118" s="9" t="n">
        <x:v>2</x:v>
      </x:c>
      <x:c r="C118" s="7" t="str">
        <x:v>OD Mature 2</x:v>
      </x:c>
      <x:c r="D118" s="11" t="n">
        <x:v>936</x:v>
      </x:c>
      <x:c r="E118" s="22" t="n">
        <x:v>0.041802509937028</x:v>
      </x:c>
      <x:c r="F118" s="23" t="b">
        <x:v>1</x:v>
      </x:c>
      <x:c r="G118" s="11" t="n">
        <x:v>217</x:v>
      </x:c>
      <x:c r="H118" s="11" t="n">
        <x:v>221</x:v>
      </x:c>
      <x:c r="I118" s="13" t="n">
        <x:v>0.036618292271347</x:v>
      </x:c>
      <x:c r="J118" s="13" t="n">
        <x:v>0.038908450704225</x:v>
      </x:c>
      <x:c r="K118" s="17" t="n">
        <x:v>0.229015843287874</x:v>
      </x:c>
      <x:c r="L118" s="13" t="n">
        <x:v>0.267281105990783</x:v>
      </x:c>
      <x:c r="M118" s="13" t="n">
        <x:v>0.56221198156682</x:v>
      </x:c>
      <x:c r="N118" s="13" t="n">
        <x:v>0.861751152073733</x:v>
      </x:c>
      <x:c r="O118" s="13" t="n">
        <x:v>0.280542986425339</x:v>
      </x:c>
      <x:c r="P118" s="13" t="n">
        <x:v>0.597285067873303</x:v>
      </x:c>
      <x:c r="Q118" s="13" t="n">
        <x:v>0.886877828054299</x:v>
      </x:c>
      <x:c r="R118" s="15" t="n">
        <x:v>0.995673311764459</x:v>
      </x:c>
      <x:c r="S118" s="17" t="n">
        <x:v>55.30518781143111</x:v>
      </x:c>
      <x:c r="T118" s="17" t="n">
        <x:v>52.59775474233749</x:v>
      </x:c>
      <x:c r="U118" s="23" t="b">
        <x:v>0</x:v>
      </x:c>
    </x:row>
    <x:row r="119" ht="22" customHeight="1">
      <x:c r="A119" s="7" t="str">
        <x:v>S</x:v>
      </x:c>
      <x:c r="B119" s="9" t="n">
        <x:v>2</x:v>
      </x:c>
      <x:c r="C119" s="7" t="str">
        <x:v>OD Mature 3</x:v>
      </x:c>
      <x:c r="D119" s="11" t="n">
        <x:v>12</x:v>
      </x:c>
      <x:c r="E119" s="22" t="n">
        <x:v>0.000535929614577</x:v>
      </x:c>
      <x:c r="F119" s="23" t="b">
        <x:v>1</x:v>
      </x:c>
      <x:c r="G119" s="11" t="n">
        <x:v>2</x:v>
      </x:c>
      <x:c r="H119" s="11" t="n">
        <x:v>3</x:v>
      </x:c>
      <x:c r="I119" s="13" t="n">
        <x:v>0.000337495781303</x:v>
      </x:c>
      <x:c r="J119" s="13" t="n">
        <x:v>0.000528169014085</x:v>
      </x:c>
      <x:c r="K119" s="17" t="n">
        <x:v>0.019067323278177</x:v>
      </x:c>
      <x:c r="L119" s="13" t="n">
        <x:v>0</x:v>
      </x:c>
      <x:c r="M119" s="13" t="n">
        <x:v>0</x:v>
      </x:c>
      <x:c r="N119" s="13" t="n">
        <x:v>0</x:v>
      </x:c>
      <x:c r="O119" s="13" t="n">
        <x:v>0</x:v>
      </x:c>
      <x:c r="P119" s="13" t="n">
        <x:v>0</x:v>
      </x:c>
      <x:c r="Q119" s="13" t="n">
        <x:v>0</x:v>
      </x:c>
      <x:c r="R119" s="15" t="n">
        <x:v>0.870768453879792</x:v>
      </x:c>
      <x:c r="S119" s="17" t="n">
        <x:v>569.6094057106968</x:v>
      </x:c>
      <x:c r="T119" s="17" t="n">
        <x:v>751.1678760726662</x:v>
      </x:c>
      <x:c r="U119" s="23" t="b">
        <x:v>0</x:v>
      </x:c>
    </x:row>
    <x:row r="120" ht="22" customHeight="1">
      <x:c r="A120" s="7" t="str">
        <x:v>S</x:v>
      </x:c>
      <x:c r="B120" s="9" t="n">
        <x:v>2</x:v>
      </x:c>
      <x:c r="C120" s="7" t="str">
        <x:v>OD Mature 4</x:v>
      </x:c>
      <x:c r="D120" s="11" t="n">
        <x:v>36</x:v>
      </x:c>
      <x:c r="E120" s="22" t="n">
        <x:v>0.001607788843732</x:v>
      </x:c>
      <x:c r="F120" s="23" t="b">
        <x:v>1</x:v>
      </x:c>
      <x:c r="G120" s="11" t="n">
        <x:v>11</x:v>
      </x:c>
      <x:c r="H120" s="11" t="n">
        <x:v>10</x:v>
      </x:c>
      <x:c r="I120" s="13" t="n">
        <x:v>0.001856226797165</x:v>
      </x:c>
      <x:c r="J120" s="13" t="n">
        <x:v>0.001760563380282</x:v>
      </x:c>
      <x:c r="K120" s="17" t="n">
        <x:v>-0.009566341688334</x:v>
      </x:c>
      <x:c r="L120" s="13" t="n">
        <x:v>0</x:v>
      </x:c>
      <x:c r="M120" s="13" t="n">
        <x:v>0</x:v>
      </x:c>
      <x:c r="N120" s="13" t="n">
        <x:v>0.090909090909091</x:v>
      </x:c>
      <x:c r="O120" s="13" t="n">
        <x:v>0</x:v>
      </x:c>
      <x:c r="P120" s="13" t="n">
        <x:v>0</x:v>
      </x:c>
      <x:c r="Q120" s="13" t="n">
        <x:v>0.2</x:v>
      </x:c>
      <x:c r="R120" s="15" t="n">
        <x:v>0.915784160729882</x:v>
      </x:c>
      <x:c r="S120" s="17" t="n">
        <x:v>372.18979840824426</x:v>
      </x:c>
      <x:c r="T120" s="17" t="n">
        <x:v>246.88289245080605</x:v>
      </x:c>
      <x:c r="U120" s="23" t="b">
        <x:v>0</x:v>
      </x:c>
    </x:row>
    <x:row r="121" ht="22" customHeight="1">
      <x:c r="A121" s="7" t="str">
        <x:v>S</x:v>
      </x:c>
      <x:c r="B121" s="9" t="n">
        <x:v>2</x:v>
      </x:c>
      <x:c r="C121" s="7" t="str">
        <x:v>Pericytes</x:v>
      </x:c>
      <x:c r="D121" s="11" t="n">
        <x:v>179</x:v>
      </x:c>
      <x:c r="E121" s="22" t="n">
        <x:v>0.007994283417444</x:v>
      </x:c>
      <x:c r="F121" s="23" t="b">
        <x:v>1</x:v>
      </x:c>
      <x:c r="G121" s="11" t="n">
        <x:v>25</x:v>
      </x:c>
      <x:c r="H121" s="11" t="n">
        <x:v>44</x:v>
      </x:c>
      <x:c r="I121" s="13" t="n">
        <x:v>0.004218697266284</x:v>
      </x:c>
      <x:c r="J121" s="13" t="n">
        <x:v>0.007746478873239</x:v>
      </x:c>
      <x:c r="K121" s="17" t="n">
        <x:v>0.352778160695526</x:v>
      </x:c>
      <x:c r="L121" s="13" t="n">
        <x:v>0.16</x:v>
      </x:c>
      <x:c r="M121" s="13" t="n">
        <x:v>0.16</x:v>
      </x:c>
      <x:c r="N121" s="13" t="n">
        <x:v>0.56</x:v>
      </x:c>
      <x:c r="O121" s="13" t="n">
        <x:v>0.045454545454545</x:v>
      </x:c>
      <x:c r="P121" s="13" t="n">
        <x:v>0.113636363636364</x:v>
      </x:c>
      <x:c r="Q121" s="13" t="n">
        <x:v>0.272727272727273</x:v>
      </x:c>
      <x:c r="R121" s="15" t="n">
        <x:v>0.972526265064953</x:v>
      </x:c>
      <x:c r="S121" s="17" t="n">
        <x:v>122.40978588484732</x:v>
      </x:c>
      <x:c r="T121" s="17" t="n">
        <x:v>199.4930012267453</x:v>
      </x:c>
      <x:c r="U121" s="23" t="b">
        <x:v>0</x:v>
      </x:c>
    </x:row>
    <x:row r="122" ht="22" customHeight="1">
      <x:c r="A122" s="7" t="str">
        <x:v>S</x:v>
      </x:c>
      <x:c r="B122" s="9" t="n">
        <x:v>3</x:v>
      </x:c>
      <x:c r="C122" s="7" t="str">
        <x:v>Astrocyte</x:v>
      </x:c>
      <x:c r="D122" s="11" t="n">
        <x:v>2742</x:v>
      </x:c>
      <x:c r="E122" s="22" t="n">
        <x:v>0.121790885671138</x:v>
      </x:c>
      <x:c r="F122" s="23" t="b">
        <x:v>0</x:v>
      </x:c>
      <x:c r="G122" s="11" t="n">
        <x:v>664</x:v>
      </x:c>
      <x:c r="H122" s="11" t="n">
        <x:v>709</x:v>
      </x:c>
      <x:c r="I122" s="13" t="n">
        <x:v>0.114423574013441</x:v>
      </x:c>
      <x:c r="J122" s="13" t="n">
        <x:v>0.123626852659111</x:v>
      </x:c>
      <x:c r="K122" s="17" t="n">
        <x:v>0.92032786456694</x:v>
      </x:c>
      <x:c r="L122" s="13" t="n">
        <x:v>0.323795180722892</x:v>
      </x:c>
      <x:c r="M122" s="13" t="n">
        <x:v>0.75</x:v>
      </x:c>
      <x:c r="N122" s="13" t="n">
        <x:v>0.987951807228916</x:v>
      </x:c>
      <x:c r="O122" s="13" t="n">
        <x:v>0.383638928067701</x:v>
      </x:c>
      <x:c r="P122" s="13" t="n">
        <x:v>0.802538787023977</x:v>
      </x:c>
      <x:c r="Q122" s="13" t="n">
        <x:v>0.994358251057828</x:v>
      </x:c>
      <x:c r="R122" s="15" t="n">
        <x:v>0.995873847413054</x:v>
      </x:c>
      <x:c r="S122" s="17" t="n">
        <x:v>37.165176184435815</x:v>
      </x:c>
      <x:c r="T122" s="17" t="n">
        <x:v>34.03196648940831</x:v>
      </x:c>
      <x:c r="U122" s="23" t="b">
        <x:v>0</x:v>
      </x:c>
    </x:row>
    <x:row r="123" ht="22" customHeight="1">
      <x:c r="A123" s="7" t="str">
        <x:v>S</x:v>
      </x:c>
      <x:c r="B123" s="9" t="n">
        <x:v>3</x:v>
      </x:c>
      <x:c r="C123" s="7" t="str">
        <x:v>Endothelial 1</x:v>
      </x:c>
      <x:c r="D123" s="11" t="n">
        <x:v>1176</x:v>
      </x:c>
      <x:c r="E123" s="22" t="n">
        <x:v>0.05223416540819</x:v>
      </x:c>
      <x:c r="F123" s="23" t="b">
        <x:v>0</x:v>
      </x:c>
      <x:c r="G123" s="11" t="n">
        <x:v>304</x:v>
      </x:c>
      <x:c r="H123" s="11" t="n">
        <x:v>296</x:v>
      </x:c>
      <x:c r="I123" s="13" t="n">
        <x:v>0.052386696536274</x:v>
      </x:c>
      <x:c r="J123" s="13" t="n">
        <x:v>0.051612903225806</x:v>
      </x:c>
      <x:c r="K123" s="17" t="n">
        <x:v>-0.077379331046789</x:v>
      </x:c>
      <x:c r="L123" s="13" t="n">
        <x:v>0.148026315789474</x:v>
      </x:c>
      <x:c r="M123" s="13" t="n">
        <x:v>0.460526315789474</x:v>
      </x:c>
      <x:c r="N123" s="13" t="n">
        <x:v>0.884868421052632</x:v>
      </x:c>
      <x:c r="O123" s="13" t="n">
        <x:v>0.189189189189189</x:v>
      </x:c>
      <x:c r="P123" s="13" t="n">
        <x:v>0.533783783783784</x:v>
      </x:c>
      <x:c r="Q123" s="13" t="n">
        <x:v>0.922297297297297</x:v>
      </x:c>
      <x:c r="R123" s="15" t="n">
        <x:v>0.995265735232239</x:v>
      </x:c>
      <x:c r="S123" s="17" t="n">
        <x:v>58.5701483481258</x:v>
      </x:c>
      <x:c r="T123" s="17" t="n">
        <x:v>50.693722475706245</x:v>
      </x:c>
      <x:c r="U123" s="23" t="b">
        <x:v>0</x:v>
      </x:c>
    </x:row>
    <x:row r="124" ht="22" customHeight="1">
      <x:c r="A124" s="7" t="str">
        <x:v>S</x:v>
      </x:c>
      <x:c r="B124" s="9" t="n">
        <x:v>3</x:v>
      </x:c>
      <x:c r="C124" s="7" t="str">
        <x:v>Endothelial 2</x:v>
      </x:c>
      <x:c r="D124" s="11" t="n">
        <x:v>117</x:v>
      </x:c>
      <x:c r="E124" s="22" t="n">
        <x:v>0.005196766456427</x:v>
      </x:c>
      <x:c r="F124" s="23" t="b">
        <x:v>1</x:v>
      </x:c>
      <x:c r="G124" s="11" t="n">
        <x:v>27</x:v>
      </x:c>
      <x:c r="H124" s="11" t="n">
        <x:v>18</x:v>
      </x:c>
      <x:c r="I124" s="13" t="n">
        <x:v>0.004652765810788</x:v>
      </x:c>
      <x:c r="J124" s="13" t="n">
        <x:v>0.003138622493461</x:v>
      </x:c>
      <x:c r="K124" s="17" t="n">
        <x:v>-0.151414331732632</x:v>
      </x:c>
      <x:c r="L124" s="13" t="n">
        <x:v>0.037037037037037</x:v>
      </x:c>
      <x:c r="M124" s="13" t="n">
        <x:v>0.074074074074074</x:v>
      </x:c>
      <x:c r="N124" s="13" t="n">
        <x:v>0.185185185185185</x:v>
      </x:c>
      <x:c r="O124" s="13" t="n">
        <x:v>0.055555555555556</x:v>
      </x:c>
      <x:c r="P124" s="13" t="n">
        <x:v>0.111111111111111</x:v>
      </x:c>
      <x:c r="Q124" s="13" t="n">
        <x:v>0.277777777777778</x:v>
      </x:c>
      <x:c r="R124" s="15" t="n">
        <x:v>0.925370576933275</x:v>
      </x:c>
      <x:c r="S124" s="17" t="n">
        <x:v>279.73822928095893</x:v>
      </x:c>
      <x:c r="T124" s="17" t="n">
        <x:v>174.37193513472542</x:v>
      </x:c>
      <x:c r="U124" s="23" t="b">
        <x:v>0</x:v>
      </x:c>
    </x:row>
    <x:row r="125" ht="22" customHeight="1">
      <x:c r="A125" s="7" t="str">
        <x:v>S</x:v>
      </x:c>
      <x:c r="B125" s="9" t="n">
        <x:v>3</x:v>
      </x:c>
      <x:c r="C125" s="7" t="str">
        <x:v>Endothelial 3</x:v>
      </x:c>
      <x:c r="D125" s="11" t="n">
        <x:v>455</x:v>
      </x:c>
      <x:c r="E125" s="22" t="n">
        <x:v>0.02020964733055</x:v>
      </x:c>
      <x:c r="F125" s="23" t="b">
        <x:v>1</x:v>
      </x:c>
      <x:c r="G125" s="11" t="n">
        <x:v>94</x:v>
      </x:c>
      <x:c r="H125" s="11" t="n">
        <x:v>112</x:v>
      </x:c>
      <x:c r="I125" s="13" t="n">
        <x:v>0.016198518007927</x:v>
      </x:c>
      <x:c r="J125" s="13" t="n">
        <x:v>0.019529206625981</x:v>
      </x:c>
      <x:c r="K125" s="17" t="n">
        <x:v>0.333068861805388</x:v>
      </x:c>
      <x:c r="L125" s="13" t="n">
        <x:v>0.063829787234043</x:v>
      </x:c>
      <x:c r="M125" s="13" t="n">
        <x:v>0.170212765957447</x:v>
      </x:c>
      <x:c r="N125" s="13" t="n">
        <x:v>0.617021276595745</x:v>
      </x:c>
      <x:c r="O125" s="13" t="n">
        <x:v>0.080357142857143</x:v>
      </x:c>
      <x:c r="P125" s="13" t="n">
        <x:v>0.214285714285714</x:v>
      </x:c>
      <x:c r="Q125" s="13" t="n">
        <x:v>0.625</x:v>
      </x:c>
      <x:c r="R125" s="15" t="n">
        <x:v>0.987312513579424</x:v>
      </x:c>
      <x:c r="S125" s="17" t="n">
        <x:v>91.71122913165811</x:v>
      </x:c>
      <x:c r="T125" s="17" t="n">
        <x:v>89.95638105441985</x:v>
      </x:c>
      <x:c r="U125" s="23" t="b">
        <x:v>0</x:v>
      </x:c>
    </x:row>
    <x:row r="126" ht="22" customHeight="1">
      <x:c r="A126" s="7" t="str">
        <x:v>S</x:v>
      </x:c>
      <x:c r="B126" s="9" t="n">
        <x:v>3</x:v>
      </x:c>
      <x:c r="C126" s="7" t="str">
        <x:v>Ependymal</x:v>
      </x:c>
      <x:c r="D126" s="11" t="n">
        <x:v>1055</x:v>
      </x:c>
      <x:c r="E126" s="22" t="n">
        <x:v>0.046859731722484</x:v>
      </x:c>
      <x:c r="F126" s="23" t="b">
        <x:v>1</x:v>
      </x:c>
      <x:c r="G126" s="11" t="n">
        <x:v>232</x:v>
      </x:c>
      <x:c r="H126" s="11" t="n">
        <x:v>246</x:v>
      </x:c>
      <x:c r="I126" s="13" t="n">
        <x:v>0.039979321040841</x:v>
      </x:c>
      <x:c r="J126" s="13" t="n">
        <x:v>0.042894507410636</x:v>
      </x:c>
      <x:c r="K126" s="17" t="n">
        <x:v>0.291518636979549</x:v>
      </x:c>
      <x:c r="L126" s="13" t="n">
        <x:v>0.870689655172414</x:v>
      </x:c>
      <x:c r="M126" s="13" t="n">
        <x:v>0.978448275862069</x:v>
      </x:c>
      <x:c r="N126" s="13" t="n">
        <x:v>1</x:v>
      </x:c>
      <x:c r="O126" s="13" t="n">
        <x:v>0.813008130081301</x:v>
      </x:c>
      <x:c r="P126" s="13" t="n">
        <x:v>0.967479674796748</x:v>
      </x:c>
      <x:c r="Q126" s="13" t="n">
        <x:v>1</x:v>
      </x:c>
      <x:c r="R126" s="15" t="n">
        <x:v>0.99434482040141</x:v>
      </x:c>
      <x:c r="S126" s="17" t="n">
        <x:v>15.062965428491925</x:v>
      </x:c>
      <x:c r="T126" s="17" t="n">
        <x:v>16.413307318708796</x:v>
      </x:c>
      <x:c r="U126" s="23" t="b">
        <x:v>0</x:v>
      </x:c>
    </x:row>
    <x:row r="127" ht="22" customHeight="1">
      <x:c r="A127" s="7" t="str">
        <x:v>S</x:v>
      </x:c>
      <x:c r="B127" s="9" t="n">
        <x:v>3</x:v>
      </x:c>
      <x:c r="C127" s="7" t="str">
        <x:v>Excitatory</x:v>
      </x:c>
      <x:c r="D127" s="11" t="n">
        <x:v>4593</x:v>
      </x:c>
      <x:c r="E127" s="22" t="n">
        <x:v>0.204006396020254</x:v>
      </x:c>
      <x:c r="F127" s="23" t="b">
        <x:v>0</x:v>
      </x:c>
      <x:c r="G127" s="11" t="n">
        <x:v>1194</x:v>
      </x:c>
      <x:c r="H127" s="11" t="n">
        <x:v>1217</x:v>
      </x:c>
      <x:c r="I127" s="13" t="n">
        <x:v>0.205755643632604</x:v>
      </x:c>
      <x:c r="J127" s="13" t="n">
        <x:v>0.212205754141238</x:v>
      </x:c>
      <x:c r="K127" s="17" t="n">
        <x:v>0.64501105086342</x:v>
      </x:c>
      <x:c r="L127" s="13" t="n">
        <x:v>0.537688442211055</x:v>
      </x:c>
      <x:c r="M127" s="13" t="n">
        <x:v>0.888609715242881</x:v>
      </x:c>
      <x:c r="N127" s="13" t="n">
        <x:v>0.994974874371859</x:v>
      </x:c>
      <x:c r="O127" s="13" t="n">
        <x:v>0.57518488085456</x:v>
      </x:c>
      <x:c r="P127" s="13" t="n">
        <x:v>0.94823336072309</x:v>
      </x:c>
      <x:c r="Q127" s="13" t="n">
        <x:v>1</x:v>
      </x:c>
      <x:c r="R127" s="15" t="n">
        <x:v>0.993946216462632</x:v>
      </x:c>
      <x:c r="S127" s="17" t="n">
        <x:v>27.56288454709253</x:v>
      </x:c>
      <x:c r="T127" s="17" t="n">
        <x:v>24.25876438465714</x:v>
      </x:c>
      <x:c r="U127" s="23" t="b">
        <x:v>0</x:v>
      </x:c>
    </x:row>
    <x:row r="128" ht="22" customHeight="1">
      <x:c r="A128" s="7" t="str">
        <x:v>S</x:v>
      </x:c>
      <x:c r="B128" s="9" t="n">
        <x:v>3</x:v>
      </x:c>
      <x:c r="C128" s="7" t="str">
        <x:v>Inhibitory</x:v>
      </x:c>
      <x:c r="D128" s="11" t="n">
        <x:v>9762</x:v>
      </x:c>
      <x:c r="E128" s="22" t="n">
        <x:v>0.433596873056765</x:v>
      </x:c>
      <x:c r="F128" s="23" t="b">
        <x:v>0</x:v>
      </x:c>
      <x:c r="G128" s="11" t="n">
        <x:v>2607</x:v>
      </x:c>
      <x:c r="H128" s="11" t="n">
        <x:v>2469</x:v>
      </x:c>
      <x:c r="I128" s="13" t="n">
        <x:v>0.449250387730484</x:v>
      </x:c>
      <x:c r="J128" s="13" t="n">
        <x:v>0.430514385353095</x:v>
      </x:c>
      <x:c r="K128" s="17" t="n">
        <x:v>-1.87360023773892</x:v>
      </x:c>
      <x:c r="L128" s="13" t="n">
        <x:v>0.744917529727656</x:v>
      </x:c>
      <x:c r="M128" s="13" t="n">
        <x:v>0.946682009973149</x:v>
      </x:c>
      <x:c r="N128" s="13" t="n">
        <x:v>0.997314921365554</x:v>
      </x:c>
      <x:c r="O128" s="13" t="n">
        <x:v>0.853786958282706</x:v>
      </x:c>
      <x:c r="P128" s="13" t="n">
        <x:v>0.983799108950992</x:v>
      </x:c>
      <x:c r="Q128" s="13" t="n">
        <x:v>0.998379910895099</x:v>
      </x:c>
      <x:c r="R128" s="15" t="n">
        <x:v>0.995101625038332</x:v>
      </x:c>
      <x:c r="S128" s="17" t="n">
        <x:v>20.554818850715467</x:v>
      </x:c>
      <x:c r="T128" s="17" t="n">
        <x:v>16.371406327173634</x:v>
      </x:c>
      <x:c r="U128" s="23" t="b">
        <x:v>0</x:v>
      </x:c>
    </x:row>
    <x:row r="129" ht="22" customHeight="1">
      <x:c r="A129" s="7" t="str">
        <x:v>S</x:v>
      </x:c>
      <x:c r="B129" s="9" t="n">
        <x:v>3</x:v>
      </x:c>
      <x:c r="C129" s="7" t="str">
        <x:v>Microglia</x:v>
      </x:c>
      <x:c r="D129" s="11" t="n">
        <x:v>473</x:v>
      </x:c>
      <x:c r="E129" s="22" t="n">
        <x:v>0.021009149862308</x:v>
      </x:c>
      <x:c r="F129" s="23" t="b">
        <x:v>1</x:v>
      </x:c>
      <x:c r="G129" s="11" t="n">
        <x:v>121</x:v>
      </x:c>
      <x:c r="H129" s="11" t="n">
        <x:v>122</x:v>
      </x:c>
      <x:c r="I129" s="13" t="n">
        <x:v>0.020851283818714</x:v>
      </x:c>
      <x:c r="J129" s="13" t="n">
        <x:v>0.021272885789015</x:v>
      </x:c>
      <x:c r="K129" s="17" t="n">
        <x:v>0.042160197030036</x:v>
      </x:c>
      <x:c r="L129" s="13" t="n">
        <x:v>0.066115702479339</x:v>
      </x:c>
      <x:c r="M129" s="13" t="n">
        <x:v>0.198347107438016</x:v>
      </x:c>
      <x:c r="N129" s="13" t="n">
        <x:v>0.636363636363636</x:v>
      </x:c>
      <x:c r="O129" s="13" t="n">
        <x:v>0.09016393442623</x:v>
      </x:c>
      <x:c r="P129" s="13" t="n">
        <x:v>0.278688524590164</x:v>
      </x:c>
      <x:c r="Q129" s="13" t="n">
        <x:v>0.704918032786885</x:v>
      </x:c>
      <x:c r="R129" s="15" t="n">
        <x:v>0.987665842671352</x:v>
      </x:c>
      <x:c r="S129" s="17" t="n">
        <x:v>92.48174695456744</x:v>
      </x:c>
      <x:c r="T129" s="17" t="n">
        <x:v>80.18354862076248</x:v>
      </x:c>
      <x:c r="U129" s="23" t="b">
        <x:v>0</x:v>
      </x:c>
    </x:row>
    <x:row r="130" ht="22" customHeight="1">
      <x:c r="A130" s="7" t="str">
        <x:v>S</x:v>
      </x:c>
      <x:c r="B130" s="9" t="n">
        <x:v>3</x:v>
      </x:c>
      <x:c r="C130" s="7" t="str">
        <x:v>OD Immature 1</x:v>
      </x:c>
      <x:c r="D130" s="11" t="n">
        <x:v>814</x:v>
      </x:c>
      <x:c r="E130" s="22" t="n">
        <x:v>0.03615528115839</x:v>
      </x:c>
      <x:c r="F130" s="23" t="b">
        <x:v>1</x:v>
      </x:c>
      <x:c r="G130" s="11" t="n">
        <x:v>198</x:v>
      </x:c>
      <x:c r="H130" s="11" t="n">
        <x:v>206</x:v>
      </x:c>
      <x:c r="I130" s="13" t="n">
        <x:v>0.034120282612442</x:v>
      </x:c>
      <x:c r="J130" s="13" t="n">
        <x:v>0.0359197907585</x:v>
      </x:c>
      <x:c r="K130" s="17" t="n">
        <x:v>0.179950814605859</x:v>
      </x:c>
      <x:c r="L130" s="13" t="n">
        <x:v>0.095959595959596</x:v>
      </x:c>
      <x:c r="M130" s="13" t="n">
        <x:v>0.363636363636364</x:v>
      </x:c>
      <x:c r="N130" s="13" t="n">
        <x:v>0.863636363636364</x:v>
      </x:c>
      <x:c r="O130" s="13" t="n">
        <x:v>0.116504854368932</x:v>
      </x:c>
      <x:c r="P130" s="13" t="n">
        <x:v>0.378640776699029</x:v>
      </x:c>
      <x:c r="Q130" s="13" t="n">
        <x:v>0.878640776699029</x:v>
      </x:c>
      <x:c r="R130" s="15" t="n">
        <x:v>0.992925361618312</x:v>
      </x:c>
      <x:c r="S130" s="17" t="n">
        <x:v>65.73058743633445</x:v>
      </x:c>
      <x:c r="T130" s="17" t="n">
        <x:v>60.4542287499335</x:v>
      </x:c>
      <x:c r="U130" s="23" t="b">
        <x:v>0</x:v>
      </x:c>
    </x:row>
    <x:row r="131" ht="22" customHeight="1">
      <x:c r="A131" s="7" t="str">
        <x:v>S</x:v>
      </x:c>
      <x:c r="B131" s="9" t="n">
        <x:v>3</x:v>
      </x:c>
      <x:c r="C131" s="7" t="str">
        <x:v>OD Immature 2</x:v>
      </x:c>
      <x:c r="D131" s="11" t="n">
        <x:v>26</x:v>
      </x:c>
      <x:c r="E131" s="22" t="n">
        <x:v>0.001154836990317</x:v>
      </x:c>
      <x:c r="F131" s="23" t="b">
        <x:v>1</x:v>
      </x:c>
      <x:c r="G131" s="11" t="n">
        <x:v>7</x:v>
      </x:c>
      <x:c r="H131" s="11" t="n">
        <x:v>6</x:v>
      </x:c>
      <x:c r="I131" s="13" t="n">
        <x:v>0.001206272617612</x:v>
      </x:c>
      <x:c r="J131" s="13" t="n">
        <x:v>0.00104620749782</x:v>
      </x:c>
      <x:c r="K131" s="17" t="n">
        <x:v>-0.016006511979118</x:v>
      </x:c>
      <x:c r="L131" s="13" t="n">
        <x:v>0</x:v>
      </x:c>
      <x:c r="M131" s="13" t="n">
        <x:v>0</x:v>
      </x:c>
      <x:c r="N131" s="13" t="n">
        <x:v>0</x:v>
      </x:c>
      <x:c r="O131" s="13" t="n">
        <x:v>0</x:v>
      </x:c>
      <x:c r="P131" s="13" t="n">
        <x:v>0</x:v>
      </x:c>
      <x:c r="Q131" s="13" t="n">
        <x:v>0</x:v>
      </x:c>
      <x:c r="R131" s="15" t="n">
        <x:v>0.80073870077577</x:v>
      </x:c>
      <x:c r="S131" s="17" t="n">
        <x:v>498.3755295936763</x:v>
      </x:c>
      <x:c r="T131" s="17" t="n">
        <x:v>417.34106584309535</x:v>
      </x:c>
      <x:c r="U131" s="23" t="b">
        <x:v>0</x:v>
      </x:c>
    </x:row>
    <x:row r="132" ht="22" customHeight="1">
      <x:c r="A132" s="7" t="str">
        <x:v>S</x:v>
      </x:c>
      <x:c r="B132" s="9" t="n">
        <x:v>3</x:v>
      </x:c>
      <x:c r="C132" s="7" t="str">
        <x:v>OD Mature 1</x:v>
      </x:c>
      <x:c r="D132" s="11" t="n">
        <x:v>192</x:v>
      </x:c>
      <x:c r="E132" s="22" t="n">
        <x:v>0.008528027005419</x:v>
      </x:c>
      <x:c r="F132" s="23" t="b">
        <x:v>1</x:v>
      </x:c>
      <x:c r="G132" s="11" t="n">
        <x:v>46</x:v>
      </x:c>
      <x:c r="H132" s="11" t="n">
        <x:v>46</x:v>
      </x:c>
      <x:c r="I132" s="13" t="n">
        <x:v>0.007926934344305</x:v>
      </x:c>
      <x:c r="J132" s="13" t="n">
        <x:v>0.008020924149956</x:v>
      </x:c>
      <x:c r="K132" s="17" t="n">
        <x:v>0.009398980565174</x:v>
      </x:c>
      <x:c r="L132" s="13" t="n">
        <x:v>0.173913043478261</x:v>
      </x:c>
      <x:c r="M132" s="13" t="n">
        <x:v>0.239130434782609</x:v>
      </x:c>
      <x:c r="N132" s="13" t="n">
        <x:v>0.58695652173913</x:v>
      </x:c>
      <x:c r="O132" s="13" t="n">
        <x:v>0.152173913043478</x:v>
      </x:c>
      <x:c r="P132" s="13" t="n">
        <x:v>0.260869565217391</x:v>
      </x:c>
      <x:c r="Q132" s="13" t="n">
        <x:v>0.58695652173913</x:v>
      </x:c>
      <x:c r="R132" s="15" t="n">
        <x:v>0.989590480423385</x:v>
      </x:c>
      <x:c r="S132" s="17" t="n">
        <x:v>103.30752718039898</x:v>
      </x:c>
      <x:c r="T132" s="17" t="n">
        <x:v>107.09489624883412</x:v>
      </x:c>
      <x:c r="U132" s="23" t="b">
        <x:v>0</x:v>
      </x:c>
    </x:row>
    <x:row r="133" ht="22" customHeight="1">
      <x:c r="A133" s="7" t="str">
        <x:v>S</x:v>
      </x:c>
      <x:c r="B133" s="9" t="n">
        <x:v>3</x:v>
      </x:c>
      <x:c r="C133" s="7" t="str">
        <x:v>OD Mature 2</x:v>
      </x:c>
      <x:c r="D133" s="11" t="n">
        <x:v>907</x:v>
      </x:c>
      <x:c r="E133" s="22" t="n">
        <x:v>0.04028604423914</x:v>
      </x:c>
      <x:c r="F133" s="23" t="b">
        <x:v>1</x:v>
      </x:c>
      <x:c r="G133" s="11" t="n">
        <x:v>246</x:v>
      </x:c>
      <x:c r="H133" s="11" t="n">
        <x:v>230</x:v>
      </x:c>
      <x:c r="I133" s="13" t="n">
        <x:v>0.042391866276064</x:v>
      </x:c>
      <x:c r="J133" s="13" t="n">
        <x:v>0.040104620749782</x:v>
      </x:c>
      <x:c r="K133" s="17" t="n">
        <x:v>-0.228724552628206</x:v>
      </x:c>
      <x:c r="L133" s="13" t="n">
        <x:v>0.308943089430894</x:v>
      </x:c>
      <x:c r="M133" s="13" t="n">
        <x:v>0.58130081300813</x:v>
      </x:c>
      <x:c r="N133" s="13" t="n">
        <x:v>0.853658536585366</x:v>
      </x:c>
      <x:c r="O133" s="13" t="n">
        <x:v>0.308695652173913</x:v>
      </x:c>
      <x:c r="P133" s="13" t="n">
        <x:v>0.652173913043478</x:v>
      </x:c>
      <x:c r="Q133" s="13" t="n">
        <x:v>0.917391304347826</x:v>
      </x:c>
      <x:c r="R133" s="15" t="n">
        <x:v>0.997270492691534</x:v>
      </x:c>
      <x:c r="S133" s="17" t="n">
        <x:v>56.2271152745394</x:v>
      </x:c>
      <x:c r="T133" s="17" t="n">
        <x:v>45.832714566250566</x:v>
      </x:c>
      <x:c r="U133" s="23" t="b">
        <x:v>0</x:v>
      </x:c>
    </x:row>
    <x:row r="134" ht="22" customHeight="1">
      <x:c r="A134" s="7" t="str">
        <x:v>S</x:v>
      </x:c>
      <x:c r="B134" s="9" t="n">
        <x:v>3</x:v>
      </x:c>
      <x:c r="C134" s="7" t="str">
        <x:v>OD Mature 3</x:v>
      </x:c>
      <x:c r="D134" s="11" t="n">
        <x:v>11</x:v>
      </x:c>
      <x:c r="E134" s="22" t="n">
        <x:v>0.000488584880519</x:v>
      </x:c>
      <x:c r="F134" s="23" t="b">
        <x:v>1</x:v>
      </x:c>
      <x:c r="G134" s="11" t="n">
        <x:v>3</x:v>
      </x:c>
      <x:c r="H134" s="11" t="n">
        <x:v>4</x:v>
      </x:c>
      <x:c r="I134" s="13" t="n">
        <x:v>0.000516973978976</x:v>
      </x:c>
      <x:c r="J134" s="13" t="n">
        <x:v>0.000697471665214</x:v>
      </x:c>
      <x:c r="K134" s="17" t="n">
        <x:v>0.018049768623721</x:v>
      </x:c>
      <x:c r="L134" s="13" t="n">
        <x:v>0</x:v>
      </x:c>
      <x:c r="M134" s="13" t="n">
        <x:v>0</x:v>
      </x:c>
      <x:c r="N134" s="13" t="n">
        <x:v>0</x:v>
      </x:c>
      <x:c r="O134" s="13" t="n">
        <x:v>0</x:v>
      </x:c>
      <x:c r="P134" s="13" t="n">
        <x:v>0</x:v>
      </x:c>
      <x:c r="Q134" s="13" t="n">
        <x:v>0</x:v>
      </x:c>
      <x:c r="R134" s="15" t="n">
        <x:v>0.876689153430752</x:v>
      </x:c>
      <x:c r="S134" s="17" t="n">
        <x:v>714.2792261181893</x:v>
      </x:c>
      <x:c r="T134" s="17" t="n">
        <x:v>677.3440629908794</x:v>
      </x:c>
      <x:c r="U134" s="23" t="b">
        <x:v>0</x:v>
      </x:c>
    </x:row>
    <x:row r="135" ht="22" customHeight="1">
      <x:c r="A135" s="7" t="str">
        <x:v>S</x:v>
      </x:c>
      <x:c r="B135" s="9" t="n">
        <x:v>3</x:v>
      </x:c>
      <x:c r="C135" s="7" t="str">
        <x:v>OD Mature 4</x:v>
      </x:c>
      <x:c r="D135" s="11" t="n">
        <x:v>39</x:v>
      </x:c>
      <x:c r="E135" s="22" t="n">
        <x:v>0.001732255485476</x:v>
      </x:c>
      <x:c r="F135" s="23" t="b">
        <x:v>1</x:v>
      </x:c>
      <x:c r="G135" s="11" t="n">
        <x:v>8</x:v>
      </x:c>
      <x:c r="H135" s="11" t="n">
        <x:v>10</x:v>
      </x:c>
      <x:c r="I135" s="13" t="n">
        <x:v>0.00137859727727</x:v>
      </x:c>
      <x:c r="J135" s="13" t="n">
        <x:v>0.001743679163034</x:v>
      </x:c>
      <x:c r="K135" s="17" t="n">
        <x:v>0.036508188576362</x:v>
      </x:c>
      <x:c r="L135" s="13" t="n">
        <x:v>0</x:v>
      </x:c>
      <x:c r="M135" s="13" t="n">
        <x:v>0</x:v>
      </x:c>
      <x:c r="N135" s="13" t="n">
        <x:v>0.125</x:v>
      </x:c>
      <x:c r="O135" s="13" t="n">
        <x:v>0</x:v>
      </x:c>
      <x:c r="P135" s="13" t="n">
        <x:v>0</x:v>
      </x:c>
      <x:c r="Q135" s="13" t="n">
        <x:v>0.3</x:v>
      </x:c>
      <x:c r="R135" s="15" t="n">
        <x:v>0.964485951083417</x:v>
      </x:c>
      <x:c r="S135" s="17" t="n">
        <x:v>525.6219249099784</x:v>
      </x:c>
      <x:c r="T135" s="17" t="n">
        <x:v>351.2197361596577</x:v>
      </x:c>
      <x:c r="U135" s="23" t="b">
        <x:v>0</x:v>
      </x:c>
    </x:row>
    <x:row r="136" ht="22" customHeight="1">
      <x:c r="A136" s="7" t="str">
        <x:v>S</x:v>
      </x:c>
      <x:c r="B136" s="9" t="n">
        <x:v>3</x:v>
      </x:c>
      <x:c r="C136" s="7" t="str">
        <x:v>Pericytes</x:v>
      </x:c>
      <x:c r="D136" s="11" t="n">
        <x:v>152</x:v>
      </x:c>
      <x:c r="E136" s="22" t="n">
        <x:v>0.006751354712623</x:v>
      </x:c>
      <x:c r="F136" s="23" t="b">
        <x:v>1</x:v>
      </x:c>
      <x:c r="G136" s="11" t="n">
        <x:v>52</x:v>
      </x:c>
      <x:c r="H136" s="11" t="n">
        <x:v>44</x:v>
      </x:c>
      <x:c r="I136" s="13" t="n">
        <x:v>0.008960882302257</x:v>
      </x:c>
      <x:c r="J136" s="13" t="n">
        <x:v>0.00767218831735</x:v>
      </x:c>
      <x:c r="K136" s="17" t="n">
        <x:v>-0.128869398490784</x:v>
      </x:c>
      <x:c r="L136" s="13" t="n">
        <x:v>0.019230769230769</x:v>
      </x:c>
      <x:c r="M136" s="13" t="n">
        <x:v>0.25</x:v>
      </x:c>
      <x:c r="N136" s="13" t="n">
        <x:v>0.5</x:v>
      </x:c>
      <x:c r="O136" s="13" t="n">
        <x:v>0.022727272727273</x:v>
      </x:c>
      <x:c r="P136" s="13" t="n">
        <x:v>0.159090909090909</x:v>
      </x:c>
      <x:c r="Q136" s="13" t="n">
        <x:v>0.272727272727273</x:v>
      </x:c>
      <x:c r="R136" s="15" t="n">
        <x:v>0.95102095107219</x:v>
      </x:c>
      <x:c r="S136" s="17" t="n">
        <x:v>133.41421102296812</x:v>
      </x:c>
      <x:c r="T136" s="17" t="n">
        <x:v>157.90285506681937</x:v>
      </x:c>
      <x:c r="U136" s="23" t="b">
        <x:v>0</x:v>
      </x:c>
    </x:row>
    <x:row r="137" ht="22" customHeight="1">
      <x:c r="A137" s="7" t="str">
        <x:v>Source copy</x:v>
      </x:c>
      <x:c r="B137" s="9" t="n">
        <x:v>1</x:v>
      </x:c>
      <x:c r="C137" s="7" t="str">
        <x:v>Astrocyte</x:v>
      </x:c>
      <x:c r="D137" s="11" t="n">
        <x:v>2772</x:v>
      </x:c>
      <x:c r="E137" s="22" t="n">
        <x:v>0.121792618629174</x:v>
      </x:c>
      <x:c r="F137" s="23" t="b">
        <x:v>0</x:v>
      </x:c>
      <x:c r="G137" s="11" t="n">
        <x:v>634</x:v>
      </x:c>
      <x:c r="H137" s="11" t="n">
        <x:v>683</x:v>
      </x:c>
      <x:c r="I137" s="13" t="n">
        <x:v>0.114090336512507</x:v>
      </x:c>
      <x:c r="J137" s="13" t="n">
        <x:v>0.11967758892588</x:v>
      </x:c>
      <x:c r="K137" s="17" t="n">
        <x:v>0.558725241337375</x:v>
      </x:c>
      <x:c r="L137" s="13" t="n">
        <x:v>0.290220820189274</x:v>
      </x:c>
      <x:c r="M137" s="13" t="n">
        <x:v>0.741324921135647</x:v>
      </x:c>
      <x:c r="N137" s="13" t="n">
        <x:v>0.993690851735016</x:v>
      </x:c>
      <x:c r="O137" s="13" t="n">
        <x:v>0.322108345534407</x:v>
      </x:c>
      <x:c r="P137" s="13" t="n">
        <x:v>0.789165446559297</x:v>
      </x:c>
      <x:c r="Q137" s="13" t="n">
        <x:v>0.998535871156662</x:v>
      </x:c>
      <x:c r="R137" s="15" t="n">
        <x:v>0.997775109115241</x:v>
      </x:c>
      <x:c r="S137" s="17" t="n">
        <x:v>38.4556057110985</x:v>
      </x:c>
      <x:c r="T137" s="17" t="n">
        <x:v>35.831442412515216</x:v>
      </x:c>
      <x:c r="U137" s="23" t="b">
        <x:v>0</x:v>
      </x:c>
    </x:row>
    <x:row r="138" ht="22" customHeight="1">
      <x:c r="A138" s="7" t="str">
        <x:v>Source copy</x:v>
      </x:c>
      <x:c r="B138" s="9" t="n">
        <x:v>1</x:v>
      </x:c>
      <x:c r="C138" s="7" t="str">
        <x:v>Endothelial 1</x:v>
      </x:c>
      <x:c r="D138" s="11" t="n">
        <x:v>1209</x:v>
      </x:c>
      <x:c r="E138" s="22" t="n">
        <x:v>0.053119507908612</x:v>
      </x:c>
      <x:c r="F138" s="23" t="b">
        <x:v>0</x:v>
      </x:c>
      <x:c r="G138" s="11" t="n">
        <x:v>271</x:v>
      </x:c>
      <x:c r="H138" s="11" t="n">
        <x:v>303</x:v>
      </x:c>
      <x:c r="I138" s="13" t="n">
        <x:v>0.048767320496671</x:v>
      </x:c>
      <x:c r="J138" s="13" t="n">
        <x:v>0.053092693183809</x:v>
      </x:c>
      <x:c r="K138" s="17" t="n">
        <x:v>0.432537268713849</x:v>
      </x:c>
      <x:c r="L138" s="13" t="n">
        <x:v>0.129151291512915</x:v>
      </x:c>
      <x:c r="M138" s="13" t="n">
        <x:v>0.44280442804428</x:v>
      </x:c>
      <x:c r="N138" s="13" t="n">
        <x:v>0.88929889298893</x:v>
      </x:c>
      <x:c r="O138" s="13" t="n">
        <x:v>0.148514851485148</x:v>
      </x:c>
      <x:c r="P138" s="13" t="n">
        <x:v>0.488448844884488</x:v>
      </x:c>
      <x:c r="Q138" s="13" t="n">
        <x:v>0.864686468646865</x:v>
      </x:c>
      <x:c r="R138" s="15" t="n">
        <x:v>0.99720222727114</x:v>
      </x:c>
      <x:c r="S138" s="17" t="n">
        <x:v>59.73057548551693</x:v>
      </x:c>
      <x:c r="T138" s="17" t="n">
        <x:v>58.51284930392412</x:v>
      </x:c>
      <x:c r="U138" s="23" t="b">
        <x:v>0</x:v>
      </x:c>
    </x:row>
    <x:row r="139" ht="22" customHeight="1">
      <x:c r="A139" s="7" t="str">
        <x:v>Source copy</x:v>
      </x:c>
      <x:c r="B139" s="9" t="n">
        <x:v>1</x:v>
      </x:c>
      <x:c r="C139" s="7" t="str">
        <x:v>Endothelial 2</x:v>
      </x:c>
      <x:c r="D139" s="11" t="n">
        <x:v>103</x:v>
      </x:c>
      <x:c r="E139" s="22" t="n">
        <x:v>0.004525483304042</x:v>
      </x:c>
      <x:c r="F139" s="23" t="b">
        <x:v>1</x:v>
      </x:c>
      <x:c r="G139" s="11" t="n">
        <x:v>41</x:v>
      </x:c>
      <x:c r="H139" s="11" t="n">
        <x:v>29</x:v>
      </x:c>
      <x:c r="I139" s="13" t="n">
        <x:v>0.007378081698758</x:v>
      </x:c>
      <x:c r="J139" s="13" t="n">
        <x:v>0.005081478885579</x:v>
      </x:c>
      <x:c r="K139" s="17" t="n">
        <x:v>-0.229660281317921</x:v>
      </x:c>
      <x:c r="L139" s="13" t="n">
        <x:v>0.097560975609756</x:v>
      </x:c>
      <x:c r="M139" s="13" t="n">
        <x:v>0.24390243902439</x:v>
      </x:c>
      <x:c r="N139" s="13" t="n">
        <x:v>0.414634146341463</x:v>
      </x:c>
      <x:c r="O139" s="13" t="n">
        <x:v>0.241379310344828</x:v>
      </x:c>
      <x:c r="P139" s="13" t="n">
        <x:v>0.448275862068966</x:v>
      </x:c>
      <x:c r="Q139" s="13" t="n">
        <x:v>0.793103448275862</x:v>
      </x:c>
      <x:c r="R139" s="15" t="n">
        <x:v>0.911029455569821</x:v>
      </x:c>
      <x:c r="S139" s="17" t="n">
        <x:v>193.79042825041748</x:v>
      </x:c>
      <x:c r="T139" s="17" t="n">
        <x:v>81.2728368050595</x:v>
      </x:c>
      <x:c r="U139" s="23" t="b">
        <x:v>0</x:v>
      </x:c>
    </x:row>
    <x:row r="140" ht="22" customHeight="1">
      <x:c r="A140" s="7" t="str">
        <x:v>Source copy</x:v>
      </x:c>
      <x:c r="B140" s="9" t="n">
        <x:v>1</x:v>
      </x:c>
      <x:c r="C140" s="7" t="str">
        <x:v>Endothelial 3</x:v>
      </x:c>
      <x:c r="D140" s="11" t="n">
        <x:v>433</x:v>
      </x:c>
      <x:c r="E140" s="22" t="n">
        <x:v>0.01902460456942</x:v>
      </x:c>
      <x:c r="F140" s="23" t="b">
        <x:v>1</x:v>
      </x:c>
      <x:c r="G140" s="11" t="n">
        <x:v>116</x:v>
      </x:c>
      <x:c r="H140" s="11" t="n">
        <x:v>111</x:v>
      </x:c>
      <x:c r="I140" s="13" t="n">
        <x:v>0.020874572611121</x:v>
      </x:c>
      <x:c r="J140" s="13" t="n">
        <x:v>0.019449798493079</x:v>
      </x:c>
      <x:c r="K140" s="17" t="n">
        <x:v>-0.142477411804243</x:v>
      </x:c>
      <x:c r="L140" s="13" t="n">
        <x:v>0.043103448275862</x:v>
      </x:c>
      <x:c r="M140" s="13" t="n">
        <x:v>0.21551724137931</x:v>
      </x:c>
      <x:c r="N140" s="13" t="n">
        <x:v>0.551724137931034</x:v>
      </x:c>
      <x:c r="O140" s="13" t="n">
        <x:v>0.054054054054054</x:v>
      </x:c>
      <x:c r="P140" s="13" t="n">
        <x:v>0.27027027027027</x:v>
      </x:c>
      <x:c r="Q140" s="13" t="n">
        <x:v>0.693693693693694</x:v>
      </x:c>
      <x:c r="R140" s="15" t="n">
        <x:v>0.988028353892801</x:v>
      </x:c>
      <x:c r="S140" s="17" t="n">
        <x:v>95.91168008458168</x:v>
      </x:c>
      <x:c r="T140" s="17" t="n">
        <x:v>80.14961145403451</x:v>
      </x:c>
      <x:c r="U140" s="23" t="b">
        <x:v>0</x:v>
      </x:c>
    </x:row>
    <x:row r="141" ht="22" customHeight="1">
      <x:c r="A141" s="7" t="str">
        <x:v>Source copy</x:v>
      </x:c>
      <x:c r="B141" s="9" t="n">
        <x:v>1</x:v>
      </x:c>
      <x:c r="C141" s="7" t="str">
        <x:v>Ependymal</x:v>
      </x:c>
      <x:c r="D141" s="11" t="n">
        <x:v>982</x:v>
      </x:c>
      <x:c r="E141" s="22" t="n">
        <x:v>0.043145869947276</x:v>
      </x:c>
      <x:c r="F141" s="23" t="b">
        <x:v>1</x:v>
      </x:c>
      <x:c r="G141" s="11" t="n">
        <x:v>305</x:v>
      </x:c>
      <x:c r="H141" s="11" t="n">
        <x:v>266</x:v>
      </x:c>
      <x:c r="I141" s="13" t="n">
        <x:v>0.054885729710275</x:v>
      </x:c>
      <x:c r="J141" s="13" t="n">
        <x:v>0.04660942701945</x:v>
      </x:c>
      <x:c r="K141" s="17" t="n">
        <x:v>-0.827630269082553</x:v>
      </x:c>
      <x:c r="L141" s="13" t="n">
        <x:v>0.747540983606557</x:v>
      </x:c>
      <x:c r="M141" s="13" t="n">
        <x:v>0.986885245901639</x:v>
      </x:c>
      <x:c r="N141" s="13" t="n">
        <x:v>1</x:v>
      </x:c>
      <x:c r="O141" s="13" t="n">
        <x:v>0.774436090225564</x:v>
      </x:c>
      <x:c r="P141" s="13" t="n">
        <x:v>0.973684210526316</x:v>
      </x:c>
      <x:c r="Q141" s="13" t="n">
        <x:v>0.996240601503759</x:v>
      </x:c>
      <x:c r="R141" s="15" t="n">
        <x:v>0.995814843662542</x:v>
      </x:c>
      <x:c r="S141" s="17" t="n">
        <x:v>18.883032350725447</x:v>
      </x:c>
      <x:c r="T141" s="17" t="n">
        <x:v>17.784662441068477</x:v>
      </x:c>
      <x:c r="U141" s="23" t="b">
        <x:v>0</x:v>
      </x:c>
    </x:row>
    <x:row r="142" ht="22" customHeight="1">
      <x:c r="A142" s="7" t="str">
        <x:v>Source copy</x:v>
      </x:c>
      <x:c r="B142" s="9" t="n">
        <x:v>1</x:v>
      </x:c>
      <x:c r="C142" s="7" t="str">
        <x:v>Excitatory</x:v>
      </x:c>
      <x:c r="D142" s="11" t="n">
        <x:v>4700</x:v>
      </x:c>
      <x:c r="E142" s="22" t="n">
        <x:v>0.206502636203866</x:v>
      </x:c>
      <x:c r="F142" s="23" t="b">
        <x:v>0</x:v>
      </x:c>
      <x:c r="G142" s="11" t="n">
        <x:v>1087</x:v>
      </x:c>
      <x:c r="H142" s="11" t="n">
        <x:v>1142</x:v>
      </x:c>
      <x:c r="I142" s="13" t="n">
        <x:v>0.195609141623178</x:v>
      </x:c>
      <x:c r="J142" s="13" t="n">
        <x:v>0.200105134045908</x:v>
      </x:c>
      <x:c r="K142" s="17" t="n">
        <x:v>0.449599242273058</x:v>
      </x:c>
      <x:c r="L142" s="13" t="n">
        <x:v>0.545538178472861</x:v>
      </x:c>
      <x:c r="M142" s="13" t="n">
        <x:v>0.910763569457222</x:v>
      </x:c>
      <x:c r="N142" s="13" t="n">
        <x:v>0.996320147194112</x:v>
      </x:c>
      <x:c r="O142" s="13" t="n">
        <x:v>0.550788091068301</x:v>
      </x:c>
      <x:c r="P142" s="13" t="n">
        <x:v>0.897548161120841</x:v>
      </x:c>
      <x:c r="Q142" s="13" t="n">
        <x:v>0.986865148861646</x:v>
      </x:c>
      <x:c r="R142" s="15" t="n">
        <x:v>0.994079361192187</x:v>
      </x:c>
      <x:c r="S142" s="17" t="n">
        <x:v>26.434975778705564</x:v>
      </x:c>
      <x:c r="T142" s="17" t="n">
        <x:v>27.50377013329899</x:v>
      </x:c>
      <x:c r="U142" s="23" t="b">
        <x:v>0</x:v>
      </x:c>
    </x:row>
    <x:row r="143" ht="22" customHeight="1">
      <x:c r="A143" s="7" t="str">
        <x:v>Source copy</x:v>
      </x:c>
      <x:c r="B143" s="9" t="n">
        <x:v>1</x:v>
      </x:c>
      <x:c r="C143" s="7" t="str">
        <x:v>Inhibitory</x:v>
      </x:c>
      <x:c r="D143" s="11" t="n">
        <x:v>9839</x:v>
      </x:c>
      <x:c r="E143" s="22" t="n">
        <x:v>0.432293497363796</x:v>
      </x:c>
      <x:c r="F143" s="23" t="b">
        <x:v>0</x:v>
      </x:c>
      <x:c r="G143" s="11" t="n">
        <x:v>2530</x:v>
      </x:c>
      <x:c r="H143" s="11" t="n">
        <x:v>2502</x:v>
      </x:c>
      <x:c r="I143" s="13" t="n">
        <x:v>0.455281626777038</x:v>
      </x:c>
      <x:c r="J143" s="13" t="n">
        <x:v>0.438408971438584</x:v>
      </x:c>
      <x:c r="K143" s="17" t="n">
        <x:v>-1.687265533845378</x:v>
      </x:c>
      <x:c r="L143" s="13" t="n">
        <x:v>0.813833992094862</x:v>
      </x:c>
      <x:c r="M143" s="13" t="n">
        <x:v>0.991304347826087</x:v>
      </x:c>
      <x:c r="N143" s="13" t="n">
        <x:v>0.998814229249012</x:v>
      </x:c>
      <x:c r="O143" s="13" t="n">
        <x:v>0.844924060751399</x:v>
      </x:c>
      <x:c r="P143" s="13" t="n">
        <x:v>0.980815347721822</x:v>
      </x:c>
      <x:c r="Q143" s="13" t="n">
        <x:v>0.999600319744205</x:v>
      </x:c>
      <x:c r="R143" s="15" t="n">
        <x:v>0.99629973850987</x:v>
      </x:c>
      <x:c r="S143" s="17" t="n">
        <x:v>17.379638390251618</x:v>
      </x:c>
      <x:c r="T143" s="17" t="n">
        <x:v>16.38288177445017</x:v>
      </x:c>
      <x:c r="U143" s="23" t="b">
        <x:v>0</x:v>
      </x:c>
    </x:row>
    <x:row r="144" ht="22" customHeight="1">
      <x:c r="A144" s="7" t="str">
        <x:v>Source copy</x:v>
      </x:c>
      <x:c r="B144" s="9" t="n">
        <x:v>1</x:v>
      </x:c>
      <x:c r="C144" s="7" t="str">
        <x:v>Microglia</x:v>
      </x:c>
      <x:c r="D144" s="11" t="n">
        <x:v>486</x:v>
      </x:c>
      <x:c r="E144" s="22" t="n">
        <x:v>0.021353251318102</x:v>
      </x:c>
      <x:c r="F144" s="23" t="b">
        <x:v>1</x:v>
      </x:c>
      <x:c r="G144" s="11" t="n">
        <x:v>108</x:v>
      </x:c>
      <x:c r="H144" s="11" t="n">
        <x:v>129</x:v>
      </x:c>
      <x:c r="I144" s="13" t="n">
        <x:v>0.019434946913802</x:v>
      </x:c>
      <x:c r="J144" s="13" t="n">
        <x:v>0.022603819870335</x:v>
      </x:c>
      <x:c r="K144" s="17" t="n">
        <x:v>0.316887295653227</x:v>
      </x:c>
      <x:c r="L144" s="13" t="n">
        <x:v>0.092592592592592</x:v>
      </x:c>
      <x:c r="M144" s="13" t="n">
        <x:v>0.222222222222222</x:v>
      </x:c>
      <x:c r="N144" s="13" t="n">
        <x:v>0.648148148148148</x:v>
      </x:c>
      <x:c r="O144" s="13" t="n">
        <x:v>0.093023255813953</x:v>
      </x:c>
      <x:c r="P144" s="13" t="n">
        <x:v>0.248062015503876</x:v>
      </x:c>
      <x:c r="Q144" s="13" t="n">
        <x:v>0.689922480620155</x:v>
      </x:c>
      <x:c r="R144" s="15" t="n">
        <x:v>0.985561054907878</x:v>
      </x:c>
      <x:c r="S144" s="17" t="n">
        <x:v>86.63346208706432</x:v>
      </x:c>
      <x:c r="T144" s="17" t="n">
        <x:v>84.47403498689152</x:v>
      </x:c>
      <x:c r="U144" s="23" t="b">
        <x:v>0</x:v>
      </x:c>
    </x:row>
    <x:row r="145" ht="22" customHeight="1">
      <x:c r="A145" s="7" t="str">
        <x:v>Source copy</x:v>
      </x:c>
      <x:c r="B145" s="9" t="n">
        <x:v>1</x:v>
      </x:c>
      <x:c r="C145" s="7" t="str">
        <x:v>OD Immature 1</x:v>
      </x:c>
      <x:c r="D145" s="11" t="n">
        <x:v>829</x:v>
      </x:c>
      <x:c r="E145" s="22" t="n">
        <x:v>0.036423550087873</x:v>
      </x:c>
      <x:c r="F145" s="23" t="b">
        <x:v>1</x:v>
      </x:c>
      <x:c r="G145" s="11" t="n">
        <x:v>183</x:v>
      </x:c>
      <x:c r="H145" s="11" t="n">
        <x:v>205</x:v>
      </x:c>
      <x:c r="I145" s="13" t="n">
        <x:v>0.032931437826165</x:v>
      </x:c>
      <x:c r="J145" s="13" t="n">
        <x:v>0.035920799018749</x:v>
      </x:c>
      <x:c r="K145" s="17" t="n">
        <x:v>0.29893611925837</x:v>
      </x:c>
      <x:c r="L145" s="13" t="n">
        <x:v>0.081967213114754</x:v>
      </x:c>
      <x:c r="M145" s="13" t="n">
        <x:v>0.33879781420765</x:v>
      </x:c>
      <x:c r="N145" s="13" t="n">
        <x:v>0.846994535519126</x:v>
      </x:c>
      <x:c r="O145" s="13" t="n">
        <x:v>0.08780487804878</x:v>
      </x:c>
      <x:c r="P145" s="13" t="n">
        <x:v>0.385365853658537</x:v>
      </x:c>
      <x:c r="Q145" s="13" t="n">
        <x:v>0.873170731707317</x:v>
      </x:c>
      <x:c r="R145" s="15" t="n">
        <x:v>0.992980224502849</x:v>
      </x:c>
      <x:c r="S145" s="17" t="n">
        <x:v>66.22103130992474</x:v>
      </x:c>
      <x:c r="T145" s="17" t="n">
        <x:v>62.29169355039085</x:v>
      </x:c>
      <x:c r="U145" s="23" t="b">
        <x:v>0</x:v>
      </x:c>
    </x:row>
    <x:row r="146" ht="22" customHeight="1">
      <x:c r="A146" s="7" t="str">
        <x:v>Source copy</x:v>
      </x:c>
      <x:c r="B146" s="9" t="n">
        <x:v>1</x:v>
      </x:c>
      <x:c r="C146" s="7" t="str">
        <x:v>OD Immature 2</x:v>
      </x:c>
      <x:c r="D146" s="11" t="n">
        <x:v>28</x:v>
      </x:c>
      <x:c r="E146" s="22" t="n">
        <x:v>0.001230228471002</x:v>
      </x:c>
      <x:c r="F146" s="23" t="b">
        <x:v>1</x:v>
      </x:c>
      <x:c r="G146" s="11" t="n">
        <x:v>5</x:v>
      </x:c>
      <x:c r="H146" s="11" t="n">
        <x:v>7</x:v>
      </x:c>
      <x:c r="I146" s="13" t="n">
        <x:v>0.000899766060824</x:v>
      </x:c>
      <x:c r="J146" s="13" t="n">
        <x:v>0.001226563868933</x:v>
      </x:c>
      <x:c r="K146" s="17" t="n">
        <x:v>0.03267978081087</x:v>
      </x:c>
      <x:c r="L146" s="13" t="n">
        <x:v>0</x:v>
      </x:c>
      <x:c r="M146" s="13" t="n">
        <x:v>0</x:v>
      </x:c>
      <x:c r="N146" s="13" t="n">
        <x:v>0.2</x:v>
      </x:c>
      <x:c r="O146" s="13" t="n">
        <x:v>0</x:v>
      </x:c>
      <x:c r="P146" s="13" t="n">
        <x:v>0</x:v>
      </x:c>
      <x:c r="Q146" s="13" t="n">
        <x:v>0.428571428571428</x:v>
      </x:c>
      <x:c r="R146" s="15" t="n">
        <x:v>0.57602924325017</x:v>
      </x:c>
      <x:c r="S146" s="17" t="n">
        <x:v>392.9357845181242</x:v>
      </x:c>
      <x:c r="T146" s="17" t="n">
        <x:v>271.7670776050339</x:v>
      </x:c>
      <x:c r="U146" s="23" t="b">
        <x:v>0</x:v>
      </x:c>
    </x:row>
    <x:row r="147" ht="22" customHeight="1">
      <x:c r="A147" s="7" t="str">
        <x:v>Source copy</x:v>
      </x:c>
      <x:c r="B147" s="9" t="n">
        <x:v>1</x:v>
      </x:c>
      <x:c r="C147" s="7" t="str">
        <x:v>OD Mature 1</x:v>
      </x:c>
      <x:c r="D147" s="11" t="n">
        <x:v>209</x:v>
      </x:c>
      <x:c r="E147" s="22" t="n">
        <x:v>0.009182776801406</x:v>
      </x:c>
      <x:c r="F147" s="23" t="b">
        <x:v>1</x:v>
      </x:c>
      <x:c r="G147" s="11" t="n">
        <x:v>29</x:v>
      </x:c>
      <x:c r="H147" s="11" t="n">
        <x:v>58</x:v>
      </x:c>
      <x:c r="I147" s="13" t="n">
        <x:v>0.00521864315278</x:v>
      </x:c>
      <x:c r="J147" s="13" t="n">
        <x:v>0.010162957771158</x:v>
      </x:c>
      <x:c r="K147" s="17" t="n">
        <x:v>0.494431461837795</x:v>
      </x:c>
      <x:c r="L147" s="13" t="n">
        <x:v>0</x:v>
      </x:c>
      <x:c r="M147" s="13" t="n">
        <x:v>0.172413793103448</x:v>
      </x:c>
      <x:c r="N147" s="13" t="n">
        <x:v>0.482758620689655</x:v>
      </x:c>
      <x:c r="O147" s="13" t="n">
        <x:v>0</x:v>
      </x:c>
      <x:c r="P147" s="13" t="n">
        <x:v>0.155172413793103</x:v>
      </x:c>
      <x:c r="Q147" s="13" t="n">
        <x:v>0.379310344827586</x:v>
      </x:c>
      <x:c r="R147" s="15" t="n">
        <x:v>0.978507779956676</x:v>
      </x:c>
      <x:c r="S147" s="17" t="n">
        <x:v>112.79439030051296</x:v>
      </x:c>
      <x:c r="T147" s="17" t="n">
        <x:v>138.9370598979353</x:v>
      </x:c>
      <x:c r="U147" s="23" t="b">
        <x:v>0</x:v>
      </x:c>
    </x:row>
    <x:row r="148" ht="22" customHeight="1">
      <x:c r="A148" s="7" t="str">
        <x:v>Source copy</x:v>
      </x:c>
      <x:c r="B148" s="9" t="n">
        <x:v>1</x:v>
      </x:c>
      <x:c r="C148" s="7" t="str">
        <x:v>OD Mature 2</x:v>
      </x:c>
      <x:c r="D148" s="11" t="n">
        <x:v>956</x:v>
      </x:c>
      <x:c r="E148" s="22" t="n">
        <x:v>0.042003514938488</x:v>
      </x:c>
      <x:c r="F148" s="23" t="b">
        <x:v>1</x:v>
      </x:c>
      <x:c r="G148" s="11" t="n">
        <x:v>197</x:v>
      </x:c>
      <x:c r="H148" s="11" t="n">
        <x:v>235</x:v>
      </x:c>
      <x:c r="I148" s="13" t="n">
        <x:v>0.035450782796473</x:v>
      </x:c>
      <x:c r="J148" s="13" t="n">
        <x:v>0.041177501314176</x:v>
      </x:c>
      <x:c r="K148" s="17" t="n">
        <x:v>0.572671851770266</x:v>
      </x:c>
      <x:c r="L148" s="13" t="n">
        <x:v>0.284263959390863</x:v>
      </x:c>
      <x:c r="M148" s="13" t="n">
        <x:v>0.522842639593909</x:v>
      </x:c>
      <x:c r="N148" s="13" t="n">
        <x:v>0.82741116751269</x:v>
      </x:c>
      <x:c r="O148" s="13" t="n">
        <x:v>0.28936170212766</x:v>
      </x:c>
      <x:c r="P148" s="13" t="n">
        <x:v>0.54468085106383</x:v>
      </x:c>
      <x:c r="Q148" s="13" t="n">
        <x:v>0.851063829787234</x:v>
      </x:c>
      <x:c r="R148" s="15" t="n">
        <x:v>0.997565632899939</x:v>
      </x:c>
      <x:c r="S148" s="17" t="n">
        <x:v>60.88374046246062</x:v>
      </x:c>
      <x:c r="T148" s="17" t="n">
        <x:v>56.348440689888015</x:v>
      </x:c>
      <x:c r="U148" s="23" t="b">
        <x:v>0</x:v>
      </x:c>
    </x:row>
    <x:row r="149" ht="22" customHeight="1">
      <x:c r="A149" s="7" t="str">
        <x:v>Source copy</x:v>
      </x:c>
      <x:c r="B149" s="9" t="n">
        <x:v>1</x:v>
      </x:c>
      <x:c r="C149" s="7" t="str">
        <x:v>OD Mature 3</x:v>
      </x:c>
      <x:c r="D149" s="11" t="n">
        <x:v>11</x:v>
      </x:c>
      <x:c r="E149" s="22" t="n">
        <x:v>0.000483304042179</x:v>
      </x:c>
      <x:c r="F149" s="23" t="b">
        <x:v>1</x:v>
      </x:c>
      <x:c r="G149" s="11" t="n">
        <x:v>3</x:v>
      </x:c>
      <x:c r="H149" s="11" t="n">
        <x:v>1</x:v>
      </x:c>
      <x:c r="I149" s="13" t="n">
        <x:v>0.000539859636494</x:v>
      </x:c>
      <x:c r="J149" s="13" t="n">
        <x:v>0.000175223409848</x:v>
      </x:c>
      <x:c r="K149" s="17" t="n">
        <x:v>-0.036463622664696</x:v>
      </x:c>
      <x:c r="L149" s="13" t="n">
        <x:v>0</x:v>
      </x:c>
      <x:c r="M149" s="13" t="n">
        <x:v>0</x:v>
      </x:c>
      <x:c r="N149" s="13" t="n">
        <x:v>0</x:v>
      </x:c>
      <x:c r="O149" s="13" t="n">
        <x:v>0</x:v>
      </x:c>
      <x:c r="P149" s="13" t="n">
        <x:v>0</x:v>
      </x:c>
      <x:c r="Q149" s="13" t="n">
        <x:v>0</x:v>
      </x:c>
      <x:c r="R149" s="15" t="n">
        <x:v>0.81494485223816</x:v>
      </x:c>
      <x:c r="S149" s="17" t="n">
        <x:v>1300.9490817891462</x:v>
      </x:c>
      <x:c r="T149" s="17" t="n">
        <x:v>855.1351147914795</x:v>
      </x:c>
      <x:c r="U149" s="23" t="b">
        <x:v>0</x:v>
      </x:c>
    </x:row>
    <x:row r="150" ht="22" customHeight="1">
      <x:c r="A150" s="7" t="str">
        <x:v>Source copy</x:v>
      </x:c>
      <x:c r="B150" s="9" t="n">
        <x:v>1</x:v>
      </x:c>
      <x:c r="C150" s="7" t="str">
        <x:v>OD Mature 4</x:v>
      </x:c>
      <x:c r="D150" s="11" t="n">
        <x:v>36</x:v>
      </x:c>
      <x:c r="E150" s="22" t="n">
        <x:v>0.001581722319859</x:v>
      </x:c>
      <x:c r="F150" s="23" t="b">
        <x:v>1</x:v>
      </x:c>
      <x:c r="G150" s="11" t="n">
        <x:v>11</x:v>
      </x:c>
      <x:c r="H150" s="11" t="n">
        <x:v>9</x:v>
      </x:c>
      <x:c r="I150" s="13" t="n">
        <x:v>0.001979485333813</x:v>
      </x:c>
      <x:c r="J150" s="13" t="n">
        <x:v>0.001577010688628</x:v>
      </x:c>
      <x:c r="K150" s="17" t="n">
        <x:v>-0.040247464518521</x:v>
      </x:c>
      <x:c r="L150" s="13" t="n">
        <x:v>0</x:v>
      </x:c>
      <x:c r="M150" s="13" t="n">
        <x:v>0</x:v>
      </x:c>
      <x:c r="N150" s="13" t="n">
        <x:v>0.363636363636364</x:v>
      </x:c>
      <x:c r="O150" s="13" t="n">
        <x:v>0</x:v>
      </x:c>
      <x:c r="P150" s="13" t="n">
        <x:v>0</x:v>
      </x:c>
      <x:c r="Q150" s="13" t="n">
        <x:v>0.333333333333333</x:v>
      </x:c>
      <x:c r="R150" s="15" t="n">
        <x:v>0.906432939058669</x:v>
      </x:c>
      <x:c r="S150" s="17" t="n">
        <x:v>454.914593361326</x:v>
      </x:c>
      <x:c r="T150" s="17" t="n">
        <x:v>216.49835447197256</x:v>
      </x:c>
      <x:c r="U150" s="23" t="b">
        <x:v>0</x:v>
      </x:c>
    </x:row>
    <x:row r="151" ht="22" customHeight="1">
      <x:c r="A151" s="7" t="str">
        <x:v>Source copy</x:v>
      </x:c>
      <x:c r="B151" s="9" t="n">
        <x:v>1</x:v>
      </x:c>
      <x:c r="C151" s="7" t="str">
        <x:v>Pericytes</x:v>
      </x:c>
      <x:c r="D151" s="11" t="n">
        <x:v>167</x:v>
      </x:c>
      <x:c r="E151" s="22" t="n">
        <x:v>0.007337434094903</x:v>
      </x:c>
      <x:c r="F151" s="23" t="b">
        <x:v>1</x:v>
      </x:c>
      <x:c r="G151" s="11" t="n">
        <x:v>37</x:v>
      </x:c>
      <x:c r="H151" s="11" t="n">
        <x:v>27</x:v>
      </x:c>
      <x:c r="I151" s="13" t="n">
        <x:v>0.006658268850099</x:v>
      </x:c>
      <x:c r="J151" s="13" t="n">
        <x:v>0.004731032065884</x:v>
      </x:c>
      <x:c r="K151" s="17" t="n">
        <x:v>-0.192723678421497</x:v>
      </x:c>
      <x:c r="L151" s="13" t="n">
        <x:v>0</x:v>
      </x:c>
      <x:c r="M151" s="13" t="n">
        <x:v>0.216216216216216</x:v>
      </x:c>
      <x:c r="N151" s="13" t="n">
        <x:v>0.297297297297297</x:v>
      </x:c>
      <x:c r="O151" s="13" t="n">
        <x:v>0</x:v>
      </x:c>
      <x:c r="P151" s="13" t="n">
        <x:v>0.259259259259259</x:v>
      </x:c>
      <x:c r="Q151" s="13" t="n">
        <x:v>0.481481481481481</x:v>
      </x:c>
      <x:c r="R151" s="15" t="n">
        <x:v>0.97058196588285</x:v>
      </x:c>
      <x:c r="S151" s="17" t="n">
        <x:v>198.37962580349395</x:v>
      </x:c>
      <x:c r="T151" s="17" t="n">
        <x:v>165.93048478897046</x:v>
      </x:c>
      <x:c r="U151" s="23" t="b">
        <x:v>0</x:v>
      </x:c>
    </x:row>
    <x:row r="152" ht="22" customHeight="1">
      <x:c r="A152" s="7" t="str">
        <x:v>Source copy</x:v>
      </x:c>
      <x:c r="B152" s="9" t="n">
        <x:v>2</x:v>
      </x:c>
      <x:c r="C152" s="7" t="str">
        <x:v>Astrocyte</x:v>
      </x:c>
      <x:c r="D152" s="11" t="n">
        <x:v>2738</x:v>
      </x:c>
      <x:c r="E152" s="22" t="n">
        <x:v>0.122281273726051</x:v>
      </x:c>
      <x:c r="F152" s="23" t="b">
        <x:v>0</x:v>
      </x:c>
      <x:c r="G152" s="11" t="n">
        <x:v>668</x:v>
      </x:c>
      <x:c r="H152" s="11" t="n">
        <x:v>649</x:v>
      </x:c>
      <x:c r="I152" s="13" t="n">
        <x:v>0.112723590955113</x:v>
      </x:c>
      <x:c r="J152" s="13" t="n">
        <x:v>0.114260563380282</x:v>
      </x:c>
      <x:c r="K152" s="17" t="n">
        <x:v>0.153697242516863</x:v>
      </x:c>
      <x:c r="L152" s="13" t="n">
        <x:v>0.305389221556886</x:v>
      </x:c>
      <x:c r="M152" s="13" t="n">
        <x:v>0.733532934131736</x:v>
      </x:c>
      <x:c r="N152" s="13" t="n">
        <x:v>0.991017964071856</x:v>
      </x:c>
      <x:c r="O152" s="13" t="n">
        <x:v>0.342064714946071</x:v>
      </x:c>
      <x:c r="P152" s="13" t="n">
        <x:v>0.808936825885978</x:v>
      </x:c>
      <x:c r="Q152" s="13" t="n">
        <x:v>0.99537750385208</x:v>
      </x:c>
      <x:c r="R152" s="15" t="n">
        <x:v>0.99725071072092</x:v>
      </x:c>
      <x:c r="S152" s="17" t="n">
        <x:v>38.34513792000654</x:v>
      </x:c>
      <x:c r="T152" s="17" t="n">
        <x:v>34.405112811860924</x:v>
      </x:c>
      <x:c r="U152" s="23" t="b">
        <x:v>0</x:v>
      </x:c>
    </x:row>
    <x:row r="153" ht="22" customHeight="1">
      <x:c r="A153" s="7" t="str">
        <x:v>Source copy</x:v>
      </x:c>
      <x:c r="B153" s="9" t="n">
        <x:v>2</x:v>
      </x:c>
      <x:c r="C153" s="7" t="str">
        <x:v>Endothelial 1</x:v>
      </x:c>
      <x:c r="D153" s="11" t="n">
        <x:v>1190</x:v>
      </x:c>
      <x:c r="E153" s="22" t="n">
        <x:v>0.053146353445581</x:v>
      </x:c>
      <x:c r="F153" s="23" t="b">
        <x:v>0</x:v>
      </x:c>
      <x:c r="G153" s="11" t="n">
        <x:v>290</x:v>
      </x:c>
      <x:c r="H153" s="11" t="n">
        <x:v>287</x:v>
      </x:c>
      <x:c r="I153" s="13" t="n">
        <x:v>0.048936888288896</x:v>
      </x:c>
      <x:c r="J153" s="13" t="n">
        <x:v>0.050528169014084</x:v>
      </x:c>
      <x:c r="K153" s="17" t="n">
        <x:v>0.159128072518812</x:v>
      </x:c>
      <x:c r="L153" s="13" t="n">
        <x:v>0.120689655172414</x:v>
      </x:c>
      <x:c r="M153" s="13" t="n">
        <x:v>0.420689655172414</x:v>
      </x:c>
      <x:c r="N153" s="13" t="n">
        <x:v>0.858620689655172</x:v>
      </x:c>
      <x:c r="O153" s="13" t="n">
        <x:v>0.177700348432056</x:v>
      </x:c>
      <x:c r="P153" s="13" t="n">
        <x:v>0.550522648083624</x:v>
      </x:c>
      <x:c r="Q153" s="13" t="n">
        <x:v>0.965156794425087</x:v>
      </x:c>
      <x:c r="R153" s="15" t="n">
        <x:v>0.996522119438112</x:v>
      </x:c>
      <x:c r="S153" s="17" t="n">
        <x:v>68.40422559647816</x:v>
      </x:c>
      <x:c r="T153" s="17" t="n">
        <x:v>50.18732161147876</x:v>
      </x:c>
      <x:c r="U153" s="23" t="b">
        <x:v>0</x:v>
      </x:c>
    </x:row>
    <x:row r="154" ht="22" customHeight="1">
      <x:c r="A154" s="7" t="str">
        <x:v>Source copy</x:v>
      </x:c>
      <x:c r="B154" s="9" t="n">
        <x:v>2</x:v>
      </x:c>
      <x:c r="C154" s="7" t="str">
        <x:v>Endothelial 2</x:v>
      </x:c>
      <x:c r="D154" s="11" t="n">
        <x:v>127</x:v>
      </x:c>
      <x:c r="E154" s="22" t="n">
        <x:v>0.005671921754276</x:v>
      </x:c>
      <x:c r="F154" s="23" t="b">
        <x:v>1</x:v>
      </x:c>
      <x:c r="G154" s="11" t="n">
        <x:v>17</x:v>
      </x:c>
      <x:c r="H154" s="11" t="n">
        <x:v>35</x:v>
      </x:c>
      <x:c r="I154" s="13" t="n">
        <x:v>0.002868714141073</x:v>
      </x:c>
      <x:c r="J154" s="13" t="n">
        <x:v>0.006161971830986</x:v>
      </x:c>
      <x:c r="K154" s="17" t="n">
        <x:v>0.329325768991268</x:v>
      </x:c>
      <x:c r="L154" s="13" t="n">
        <x:v>0.117647058823529</x:v>
      </x:c>
      <x:c r="M154" s="13" t="n">
        <x:v>0.176470588235294</x:v>
      </x:c>
      <x:c r="N154" s="13" t="n">
        <x:v>0.294117647058824</x:v>
      </x:c>
      <x:c r="O154" s="13" t="n">
        <x:v>0.057142857142857</x:v>
      </x:c>
      <x:c r="P154" s="13" t="n">
        <x:v>0.085714285714286</x:v>
      </x:c>
      <x:c r="Q154" s="13" t="n">
        <x:v>0.114285714285714</x:v>
      </x:c>
      <x:c r="R154" s="15" t="n">
        <x:v>0.926594060671099</x:v>
      </x:c>
      <x:c r="S154" s="17" t="n">
        <x:v>166.78380186280216</x:v>
      </x:c>
      <x:c r="T154" s="17" t="n">
        <x:v>224.18729413377636</x:v>
      </x:c>
      <x:c r="U154" s="23" t="b">
        <x:v>0</x:v>
      </x:c>
    </x:row>
    <x:row r="155" ht="22" customHeight="1">
      <x:c r="A155" s="7" t="str">
        <x:v>Source copy</x:v>
      </x:c>
      <x:c r="B155" s="9" t="n">
        <x:v>2</x:v>
      </x:c>
      <x:c r="C155" s="7" t="str">
        <x:v>Endothelial 3</x:v>
      </x:c>
      <x:c r="D155" s="11" t="n">
        <x:v>442</x:v>
      </x:c>
      <x:c r="E155" s="22" t="n">
        <x:v>0.01974007413693</x:v>
      </x:c>
      <x:c r="F155" s="23" t="b">
        <x:v>1</x:v>
      </x:c>
      <x:c r="G155" s="11" t="n">
        <x:v>107</x:v>
      </x:c>
      <x:c r="H155" s="11" t="n">
        <x:v>105</x:v>
      </x:c>
      <x:c r="I155" s="13" t="n">
        <x:v>0.018056024299696</x:v>
      </x:c>
      <x:c r="J155" s="13" t="n">
        <x:v>0.018485915492958</x:v>
      </x:c>
      <x:c r="K155" s="17" t="n">
        <x:v>0.042989119326149</x:v>
      </x:c>
      <x:c r="L155" s="13" t="n">
        <x:v>0.05607476635514</x:v>
      </x:c>
      <x:c r="M155" s="13" t="n">
        <x:v>0.158878504672897</x:v>
      </x:c>
      <x:c r="N155" s="13" t="n">
        <x:v>0.523364485981308</x:v>
      </x:c>
      <x:c r="O155" s="13" t="n">
        <x:v>0.066666666666667</x:v>
      </x:c>
      <x:c r="P155" s="13" t="n">
        <x:v>0.180952380952381</x:v>
      </x:c>
      <x:c r="Q155" s="13" t="n">
        <x:v>0.514285714285714</x:v>
      </x:c>
      <x:c r="R155" s="15" t="n">
        <x:v>0.986492969209392</x:v>
      </x:c>
      <x:c r="S155" s="17" t="n">
        <x:v>96.4282387361922</x:v>
      </x:c>
      <x:c r="T155" s="17" t="n">
        <x:v>94.99151448740564</x:v>
      </x:c>
      <x:c r="U155" s="23" t="b">
        <x:v>0</x:v>
      </x:c>
    </x:row>
    <x:row r="156" ht="22" customHeight="1">
      <x:c r="A156" s="7" t="str">
        <x:v>Source copy</x:v>
      </x:c>
      <x:c r="B156" s="9" t="n">
        <x:v>2</x:v>
      </x:c>
      <x:c r="C156" s="7" t="str">
        <x:v>Ependymal</x:v>
      </x:c>
      <x:c r="D156" s="11" t="n">
        <x:v>1014</x:v>
      </x:c>
      <x:c r="E156" s="22" t="n">
        <x:v>0.045286052431781</x:v>
      </x:c>
      <x:c r="F156" s="23" t="b">
        <x:v>1</x:v>
      </x:c>
      <x:c r="G156" s="11" t="n">
        <x:v>273</x:v>
      </x:c>
      <x:c r="H156" s="11" t="n">
        <x:v>269</x:v>
      </x:c>
      <x:c r="I156" s="13" t="n">
        <x:v>0.046068174147823</x:v>
      </x:c>
      <x:c r="J156" s="13" t="n">
        <x:v>0.047359154929577</x:v>
      </x:c>
      <x:c r="K156" s="17" t="n">
        <x:v>0.129098078175431</x:v>
      </x:c>
      <x:c r="L156" s="13" t="n">
        <x:v>0.798534798534799</x:v>
      </x:c>
      <x:c r="M156" s="13" t="n">
        <x:v>0.981684981684982</x:v>
      </x:c>
      <x:c r="N156" s="13" t="n">
        <x:v>1</x:v>
      </x:c>
      <x:c r="O156" s="13" t="n">
        <x:v>0.739776951672862</x:v>
      </x:c>
      <x:c r="P156" s="13" t="n">
        <x:v>0.929368029739777</x:v>
      </x:c>
      <x:c r="Q156" s="13" t="n">
        <x:v>1</x:v>
      </x:c>
      <x:c r="R156" s="15" t="n">
        <x:v>0.99651969557127</x:v>
      </x:c>
      <x:c r="S156" s="17" t="n">
        <x:v>16.44234311646147</x:v>
      </x:c>
      <x:c r="T156" s="17" t="n">
        <x:v>20.17024514889404</x:v>
      </x:c>
      <x:c r="U156" s="23" t="b">
        <x:v>0</x:v>
      </x:c>
    </x:row>
    <x:row r="157" ht="22" customHeight="1">
      <x:c r="A157" s="7" t="str">
        <x:v>Source copy</x:v>
      </x:c>
      <x:c r="B157" s="9" t="n">
        <x:v>2</x:v>
      </x:c>
      <x:c r="C157" s="7" t="str">
        <x:v>Excitatory</x:v>
      </x:c>
      <x:c r="D157" s="11" t="n">
        <x:v>4575</x:v>
      </x:c>
      <x:c r="E157" s="22" t="n">
        <x:v>0.20432316555759</x:v>
      </x:c>
      <x:c r="F157" s="23" t="b">
        <x:v>0</x:v>
      </x:c>
      <x:c r="G157" s="11" t="n">
        <x:v>1212</x:v>
      </x:c>
      <x:c r="H157" s="11" t="n">
        <x:v>1140</x:v>
      </x:c>
      <x:c r="I157" s="13" t="n">
        <x:v>0.204522443469457</x:v>
      </x:c>
      <x:c r="J157" s="13" t="n">
        <x:v>0.200704225352113</x:v>
      </x:c>
      <x:c r="K157" s="17" t="n">
        <x:v>-0.381821811734395</x:v>
      </x:c>
      <x:c r="L157" s="13" t="n">
        <x:v>0.50990099009901</x:v>
      </x:c>
      <x:c r="M157" s="13" t="n">
        <x:v>0.897689768976898</x:v>
      </x:c>
      <x:c r="N157" s="13" t="n">
        <x:v>0.996699669966997</x:v>
      </x:c>
      <x:c r="O157" s="13" t="n">
        <x:v>0.579824561403509</x:v>
      </x:c>
      <x:c r="P157" s="13" t="n">
        <x:v>0.919298245614035</x:v>
      </x:c>
      <x:c r="Q157" s="13" t="n">
        <x:v>1</x:v>
      </x:c>
      <x:c r="R157" s="15" t="n">
        <x:v>0.996105336593834</x:v>
      </x:c>
      <x:c r="S157" s="17" t="n">
        <x:v>27.79573988925771</x:v>
      </x:c>
      <x:c r="T157" s="17" t="n">
        <x:v>25.311889588514067</x:v>
      </x:c>
      <x:c r="U157" s="23" t="b">
        <x:v>0</x:v>
      </x:c>
    </x:row>
    <x:row r="158" ht="22" customHeight="1">
      <x:c r="A158" s="7" t="str">
        <x:v>Source copy</x:v>
      </x:c>
      <x:c r="B158" s="9" t="n">
        <x:v>2</x:v>
      </x:c>
      <x:c r="C158" s="7" t="str">
        <x:v>Inhibitory</x:v>
      </x:c>
      <x:c r="D158" s="11" t="n">
        <x:v>9639</x:v>
      </x:c>
      <x:c r="E158" s="22" t="n">
        <x:v>0.430485462909205</x:v>
      </x:c>
      <x:c r="F158" s="23" t="b">
        <x:v>0</x:v>
      </x:c>
      <x:c r="G158" s="11" t="n">
        <x:v>2730</x:v>
      </x:c>
      <x:c r="H158" s="11" t="n">
        <x:v>2569</x:v>
      </x:c>
      <x:c r="I158" s="13" t="n">
        <x:v>0.460681741478232</x:v>
      </x:c>
      <x:c r="J158" s="13" t="n">
        <x:v>0.452288732394366</x:v>
      </x:c>
      <x:c r="K158" s="17" t="n">
        <x:v>-0.839300908386537</x:v>
      </x:c>
      <x:c r="L158" s="13" t="n">
        <x:v>0.781684981684982</x:v>
      </x:c>
      <x:c r="M158" s="13" t="n">
        <x:v>0.976923076923077</x:v>
      </x:c>
      <x:c r="N158" s="13" t="n">
        <x:v>0.998901098901099</x:v>
      </x:c>
      <x:c r="O158" s="13" t="n">
        <x:v>0.855975087582717</x:v>
      </x:c>
      <x:c r="P158" s="13" t="n">
        <x:v>0.983261969637991</x:v>
      </x:c>
      <x:c r="Q158" s="13" t="n">
        <x:v>1</x:v>
      </x:c>
      <x:c r="R158" s="15" t="n">
        <x:v>0.996640947750555</x:v>
      </x:c>
      <x:c r="S158" s="17" t="n">
        <x:v>18.376416836112544</x:v>
      </x:c>
      <x:c r="T158" s="17" t="n">
        <x:v>15.884508831403137</x:v>
      </x:c>
      <x:c r="U158" s="23" t="b">
        <x:v>0</x:v>
      </x:c>
    </x:row>
    <x:row r="159" ht="22" customHeight="1">
      <x:c r="A159" s="7" t="str">
        <x:v>Source copy</x:v>
      </x:c>
      <x:c r="B159" s="9" t="n">
        <x:v>2</x:v>
      </x:c>
      <x:c r="C159" s="7" t="str">
        <x:v>Microglia</x:v>
      </x:c>
      <x:c r="D159" s="11" t="n">
        <x:v>454</x:v>
      </x:c>
      <x:c r="E159" s="22" t="n">
        <x:v>0.020276003751507</x:v>
      </x:c>
      <x:c r="F159" s="23" t="b">
        <x:v>1</x:v>
      </x:c>
      <x:c r="G159" s="11" t="n">
        <x:v>140</x:v>
      </x:c>
      <x:c r="H159" s="11" t="n">
        <x:v>114</x:v>
      </x:c>
      <x:c r="I159" s="13" t="n">
        <x:v>0.023624704691191</x:v>
      </x:c>
      <x:c r="J159" s="13" t="n">
        <x:v>0.020070422535211</x:v>
      </x:c>
      <x:c r="K159" s="17" t="n">
        <x:v>-0.355428215598009</x:v>
      </x:c>
      <x:c r="L159" s="13" t="n">
        <x:v>0.042857142857143</x:v>
      </x:c>
      <x:c r="M159" s="13" t="n">
        <x:v>0.128571428571428</x:v>
      </x:c>
      <x:c r="N159" s="13" t="n">
        <x:v>0.535714285714286</x:v>
      </x:c>
      <x:c r="O159" s="13" t="n">
        <x:v>0.06140350877193</x:v>
      </x:c>
      <x:c r="P159" s="13" t="n">
        <x:v>0.166666666666667</x:v>
      </x:c>
      <x:c r="Q159" s="13" t="n">
        <x:v>0.736842105263158</x:v>
      </x:c>
      <x:c r="R159" s="15" t="n">
        <x:v>0.983391996188541</x:v>
      </x:c>
      <x:c r="S159" s="17" t="n">
        <x:v>107.58893610488956</x:v>
      </x:c>
      <x:c r="T159" s="17" t="n">
        <x:v>77.8413015780863</x:v>
      </x:c>
      <x:c r="U159" s="23" t="b">
        <x:v>0</x:v>
      </x:c>
    </x:row>
    <x:row r="160" ht="22" customHeight="1">
      <x:c r="A160" s="7" t="str">
        <x:v>Source copy</x:v>
      </x:c>
      <x:c r="B160" s="9" t="n">
        <x:v>2</x:v>
      </x:c>
      <x:c r="C160" s="7" t="str">
        <x:v>OD Immature 1</x:v>
      </x:c>
      <x:c r="D160" s="11" t="n">
        <x:v>826</x:v>
      </x:c>
      <x:c r="E160" s="22" t="n">
        <x:v>0.036889821803403</x:v>
      </x:c>
      <x:c r="F160" s="23" t="b">
        <x:v>1</x:v>
      </x:c>
      <x:c r="G160" s="11" t="n">
        <x:v>186</x:v>
      </x:c>
      <x:c r="H160" s="11" t="n">
        <x:v>191</x:v>
      </x:c>
      <x:c r="I160" s="13" t="n">
        <x:v>0.031387107661154</x:v>
      </x:c>
      <x:c r="J160" s="13" t="n">
        <x:v>0.03362676056338</x:v>
      </x:c>
      <x:c r="K160" s="17" t="n">
        <x:v>0.223965290222604</x:v>
      </x:c>
      <x:c r="L160" s="13" t="n">
        <x:v>0.069892473118279</x:v>
      </x:c>
      <x:c r="M160" s="13" t="n">
        <x:v>0.338709677419355</x:v>
      </x:c>
      <x:c r="N160" s="13" t="n">
        <x:v>0.838709677419355</x:v>
      </x:c>
      <x:c r="O160" s="13" t="n">
        <x:v>0.083769633507853</x:v>
      </x:c>
      <x:c r="P160" s="13" t="n">
        <x:v>0.408376963350785</x:v>
      </x:c>
      <x:c r="Q160" s="13" t="n">
        <x:v>0.900523560209424</x:v>
      </x:c>
      <x:c r="R160" s="15" t="n">
        <x:v>0.99394298219478</x:v>
      </x:c>
      <x:c r="S160" s="17" t="n">
        <x:v>70.74899433246887</x:v>
      </x:c>
      <x:c r="T160" s="17" t="n">
        <x:v>59.60429405499907</x:v>
      </x:c>
      <x:c r="U160" s="23" t="b">
        <x:v>0</x:v>
      </x:c>
    </x:row>
    <x:row r="161" ht="22" customHeight="1">
      <x:c r="A161" s="7" t="str">
        <x:v>Source copy</x:v>
      </x:c>
      <x:c r="B161" s="9" t="n">
        <x:v>2</x:v>
      </x:c>
      <x:c r="C161" s="7" t="str">
        <x:v>OD Immature 2</x:v>
      </x:c>
      <x:c r="D161" s="11" t="n">
        <x:v>28</x:v>
      </x:c>
      <x:c r="E161" s="22" t="n">
        <x:v>0.001250502434014</x:v>
      </x:c>
      <x:c r="F161" s="23" t="b">
        <x:v>1</x:v>
      </x:c>
      <x:c r="G161" s="11" t="n">
        <x:v>5</x:v>
      </x:c>
      <x:c r="H161" s="11" t="n">
        <x:v>6</x:v>
      </x:c>
      <x:c r="I161" s="13" t="n">
        <x:v>0.000843739453257</x:v>
      </x:c>
      <x:c r="J161" s="13" t="n">
        <x:v>0.001056338028169</x:v>
      </x:c>
      <x:c r="K161" s="17" t="n">
        <x:v>0.021259857491218</x:v>
      </x:c>
      <x:c r="L161" s="13" t="n">
        <x:v>0</x:v>
      </x:c>
      <x:c r="M161" s="13" t="n">
        <x:v>0</x:v>
      </x:c>
      <x:c r="N161" s="13" t="n">
        <x:v>0</x:v>
      </x:c>
      <x:c r="O161" s="13" t="n">
        <x:v>0</x:v>
      </x:c>
      <x:c r="P161" s="13" t="n">
        <x:v>0</x:v>
      </x:c>
      <x:c r="Q161" s="13" t="n">
        <x:v>0</x:v>
      </x:c>
      <x:c r="R161" s="15" t="n">
        <x:v>0.727821624160767</x:v>
      </x:c>
      <x:c r="S161" s="17" t="n">
        <x:v>204.4314728181527</x:v>
      </x:c>
      <x:c r="T161" s="17" t="n">
        <x:v>536.4823386616312</x:v>
      </x:c>
      <x:c r="U161" s="23" t="b">
        <x:v>0</x:v>
      </x:c>
    </x:row>
    <x:row r="162" ht="22" customHeight="1">
      <x:c r="A162" s="7" t="str">
        <x:v>Source copy</x:v>
      </x:c>
      <x:c r="B162" s="9" t="n">
        <x:v>2</x:v>
      </x:c>
      <x:c r="C162" s="7" t="str">
        <x:v>OD Mature 1</x:v>
      </x:c>
      <x:c r="D162" s="11" t="n">
        <x:v>195</x:v>
      </x:c>
      <x:c r="E162" s="22" t="n">
        <x:v>0.008708856236881</x:v>
      </x:c>
      <x:c r="F162" s="23" t="b">
        <x:v>1</x:v>
      </x:c>
      <x:c r="G162" s="11" t="n">
        <x:v>43</x:v>
      </x:c>
      <x:c r="H162" s="11" t="n">
        <x:v>37</x:v>
      </x:c>
      <x:c r="I162" s="13" t="n">
        <x:v>0.007256159298009</x:v>
      </x:c>
      <x:c r="J162" s="13" t="n">
        <x:v>0.006514084507042</x:v>
      </x:c>
      <x:c r="K162" s="17" t="n">
        <x:v>-0.074207479096652</x:v>
      </x:c>
      <x:c r="L162" s="13" t="n">
        <x:v>0.023255813953488</x:v>
      </x:c>
      <x:c r="M162" s="13" t="n">
        <x:v>0.13953488372093</x:v>
      </x:c>
      <x:c r="N162" s="13" t="n">
        <x:v>0.372093023255814</x:v>
      </x:c>
      <x:c r="O162" s="13" t="n">
        <x:v>0.027027027027027</x:v>
      </x:c>
      <x:c r="P162" s="13" t="n">
        <x:v>0.27027027027027</x:v>
      </x:c>
      <x:c r="Q162" s="13" t="n">
        <x:v>0.648648648648649</x:v>
      </x:c>
      <x:c r="R162" s="15" t="n">
        <x:v>0.981786684511973</x:v>
      </x:c>
      <x:c r="S162" s="17" t="n">
        <x:v>147.88565397928565</x:v>
      </x:c>
      <x:c r="T162" s="17" t="n">
        <x:v>94.6864778301912</x:v>
      </x:c>
      <x:c r="U162" s="23" t="b">
        <x:v>0</x:v>
      </x:c>
    </x:row>
    <x:row r="163" ht="22" customHeight="1">
      <x:c r="A163" s="7" t="str">
        <x:v>Source copy</x:v>
      </x:c>
      <x:c r="B163" s="9" t="n">
        <x:v>2</x:v>
      </x:c>
      <x:c r="C163" s="7" t="str">
        <x:v>OD Mature 2</x:v>
      </x:c>
      <x:c r="D163" s="11" t="n">
        <x:v>936</x:v>
      </x:c>
      <x:c r="E163" s="22" t="n">
        <x:v>0.041802509937028</x:v>
      </x:c>
      <x:c r="F163" s="23" t="b">
        <x:v>1</x:v>
      </x:c>
      <x:c r="G163" s="11" t="n">
        <x:v>217</x:v>
      </x:c>
      <x:c r="H163" s="11" t="n">
        <x:v>221</x:v>
      </x:c>
      <x:c r="I163" s="13" t="n">
        <x:v>0.036618292271347</x:v>
      </x:c>
      <x:c r="J163" s="13" t="n">
        <x:v>0.038908450704225</x:v>
      </x:c>
      <x:c r="K163" s="17" t="n">
        <x:v>0.229015843287874</x:v>
      </x:c>
      <x:c r="L163" s="13" t="n">
        <x:v>0.271889400921659</x:v>
      </x:c>
      <x:c r="M163" s="13" t="n">
        <x:v>0.622119815668203</x:v>
      </x:c>
      <x:c r="N163" s="13" t="n">
        <x:v>0.84331797235023</x:v>
      </x:c>
      <x:c r="O163" s="13" t="n">
        <x:v>0.30316742081448</x:v>
      </x:c>
      <x:c r="P163" s="13" t="n">
        <x:v>0.610859728506787</x:v>
      </x:c>
      <x:c r="Q163" s="13" t="n">
        <x:v>0.846153846153846</x:v>
      </x:c>
      <x:c r="R163" s="15" t="n">
        <x:v>0.9975821204734</x:v>
      </x:c>
      <x:c r="S163" s="17" t="n">
        <x:v>53.61533807687884</x:v>
      </x:c>
      <x:c r="T163" s="17" t="n">
        <x:v>53.87494685744515</x:v>
      </x:c>
      <x:c r="U163" s="23" t="b">
        <x:v>0</x:v>
      </x:c>
    </x:row>
    <x:row r="164" ht="22" customHeight="1">
      <x:c r="A164" s="7" t="str">
        <x:v>Source copy</x:v>
      </x:c>
      <x:c r="B164" s="9" t="n">
        <x:v>2</x:v>
      </x:c>
      <x:c r="C164" s="7" t="str">
        <x:v>OD Mature 3</x:v>
      </x:c>
      <x:c r="D164" s="11" t="n">
        <x:v>12</x:v>
      </x:c>
      <x:c r="E164" s="22" t="n">
        <x:v>0.000535929614577</x:v>
      </x:c>
      <x:c r="F164" s="23" t="b">
        <x:v>1</x:v>
      </x:c>
      <x:c r="G164" s="11" t="n">
        <x:v>2</x:v>
      </x:c>
      <x:c r="H164" s="11" t="n">
        <x:v>3</x:v>
      </x:c>
      <x:c r="I164" s="13" t="n">
        <x:v>0.000337495781303</x:v>
      </x:c>
      <x:c r="J164" s="13" t="n">
        <x:v>0.000528169014085</x:v>
      </x:c>
      <x:c r="K164" s="17" t="n">
        <x:v>0.019067323278177</x:v>
      </x:c>
      <x:c r="L164" s="13" t="n">
        <x:v>0</x:v>
      </x:c>
      <x:c r="M164" s="13" t="n">
        <x:v>0</x:v>
      </x:c>
      <x:c r="N164" s="13" t="n">
        <x:v>0</x:v>
      </x:c>
      <x:c r="O164" s="13" t="n">
        <x:v>0</x:v>
      </x:c>
      <x:c r="P164" s="13" t="n">
        <x:v>0</x:v>
      </x:c>
      <x:c r="Q164" s="13" t="n">
        <x:v>0</x:v>
      </x:c>
      <x:c r="R164" s="15" t="n">
        <x:v>0.86920425448549</x:v>
      </x:c>
      <x:c r="S164" s="17" t="n">
        <x:v>649.1382825614123</x:v>
      </x:c>
      <x:c r="T164" s="17" t="n">
        <x:v>868.4318660417692</x:v>
      </x:c>
      <x:c r="U164" s="23" t="b">
        <x:v>0</x:v>
      </x:c>
    </x:row>
    <x:row r="165" ht="22" customHeight="1">
      <x:c r="A165" s="7" t="str">
        <x:v>Source copy</x:v>
      </x:c>
      <x:c r="B165" s="9" t="n">
        <x:v>2</x:v>
      </x:c>
      <x:c r="C165" s="7" t="str">
        <x:v>OD Mature 4</x:v>
      </x:c>
      <x:c r="D165" s="11" t="n">
        <x:v>36</x:v>
      </x:c>
      <x:c r="E165" s="22" t="n">
        <x:v>0.001607788843732</x:v>
      </x:c>
      <x:c r="F165" s="23" t="b">
        <x:v>1</x:v>
      </x:c>
      <x:c r="G165" s="11" t="n">
        <x:v>11</x:v>
      </x:c>
      <x:c r="H165" s="11" t="n">
        <x:v>10</x:v>
      </x:c>
      <x:c r="I165" s="13" t="n">
        <x:v>0.001856226797165</x:v>
      </x:c>
      <x:c r="J165" s="13" t="n">
        <x:v>0.001760563380282</x:v>
      </x:c>
      <x:c r="K165" s="17" t="n">
        <x:v>-0.009566341688334</x:v>
      </x:c>
      <x:c r="L165" s="13" t="n">
        <x:v>0</x:v>
      </x:c>
      <x:c r="M165" s="13" t="n">
        <x:v>0</x:v>
      </x:c>
      <x:c r="N165" s="13" t="n">
        <x:v>0</x:v>
      </x:c>
      <x:c r="O165" s="13" t="n">
        <x:v>0</x:v>
      </x:c>
      <x:c r="P165" s="13" t="n">
        <x:v>0</x:v>
      </x:c>
      <x:c r="Q165" s="13" t="n">
        <x:v>0</x:v>
      </x:c>
      <x:c r="R165" s="15" t="n">
        <x:v>0.837566799724435</x:v>
      </x:c>
      <x:c r="S165" s="17" t="n">
        <x:v>368.5733408283523</x:v>
      </x:c>
      <x:c r="T165" s="17" t="n">
        <x:v>372.8301928401996</x:v>
      </x:c>
      <x:c r="U165" s="23" t="b">
        <x:v>0</x:v>
      </x:c>
    </x:row>
    <x:row r="166" ht="22" customHeight="1">
      <x:c r="A166" s="7" t="str">
        <x:v>Source copy</x:v>
      </x:c>
      <x:c r="B166" s="9" t="n">
        <x:v>2</x:v>
      </x:c>
      <x:c r="C166" s="7" t="str">
        <x:v>Pericytes</x:v>
      </x:c>
      <x:c r="D166" s="11" t="n">
        <x:v>179</x:v>
      </x:c>
      <x:c r="E166" s="22" t="n">
        <x:v>0.007994283417444</x:v>
      </x:c>
      <x:c r="F166" s="23" t="b">
        <x:v>1</x:v>
      </x:c>
      <x:c r="G166" s="11" t="n">
        <x:v>25</x:v>
      </x:c>
      <x:c r="H166" s="11" t="n">
        <x:v>44</x:v>
      </x:c>
      <x:c r="I166" s="13" t="n">
        <x:v>0.004218697266284</x:v>
      </x:c>
      <x:c r="J166" s="13" t="n">
        <x:v>0.007746478873239</x:v>
      </x:c>
      <x:c r="K166" s="17" t="n">
        <x:v>0.352778160695526</x:v>
      </x:c>
      <x:c r="L166" s="13" t="n">
        <x:v>0</x:v>
      </x:c>
      <x:c r="M166" s="13" t="n">
        <x:v>0.28</x:v>
      </x:c>
      <x:c r="N166" s="13" t="n">
        <x:v>0.36</x:v>
      </x:c>
      <x:c r="O166" s="13" t="n">
        <x:v>0</x:v>
      </x:c>
      <x:c r="P166" s="13" t="n">
        <x:v>0.136363636363636</x:v>
      </x:c>
      <x:c r="Q166" s="13" t="n">
        <x:v>0.159090909090909</x:v>
      </x:c>
      <x:c r="R166" s="15" t="n">
        <x:v>0.971857030715121</x:v>
      </x:c>
      <x:c r="S166" s="17" t="n">
        <x:v>131.55833687886454</x:v>
      </x:c>
      <x:c r="T166" s="17" t="n">
        <x:v>228.4484539929389</x:v>
      </x:c>
      <x:c r="U166" s="23" t="b">
        <x:v>0</x:v>
      </x:c>
    </x:row>
    <x:row r="167" ht="22" customHeight="1">
      <x:c r="A167" s="7" t="str">
        <x:v>Source copy</x:v>
      </x:c>
      <x:c r="B167" s="9" t="n">
        <x:v>3</x:v>
      </x:c>
      <x:c r="C167" s="7" t="str">
        <x:v>Astrocyte</x:v>
      </x:c>
      <x:c r="D167" s="11" t="n">
        <x:v>2742</x:v>
      </x:c>
      <x:c r="E167" s="22" t="n">
        <x:v>0.121790885671138</x:v>
      </x:c>
      <x:c r="F167" s="23" t="b">
        <x:v>0</x:v>
      </x:c>
      <x:c r="G167" s="11" t="n">
        <x:v>664</x:v>
      </x:c>
      <x:c r="H167" s="11" t="n">
        <x:v>709</x:v>
      </x:c>
      <x:c r="I167" s="13" t="n">
        <x:v>0.114423574013441</x:v>
      </x:c>
      <x:c r="J167" s="13" t="n">
        <x:v>0.123626852659111</x:v>
      </x:c>
      <x:c r="K167" s="17" t="n">
        <x:v>0.92032786456694</x:v>
      </x:c>
      <x:c r="L167" s="13" t="n">
        <x:v>0.331325301204819</x:v>
      </x:c>
      <x:c r="M167" s="13" t="n">
        <x:v>0.80421686746988</x:v>
      </x:c>
      <x:c r="N167" s="13" t="n">
        <x:v>0.993975903614458</x:v>
      </x:c>
      <x:c r="O167" s="13" t="n">
        <x:v>0.337094499294781</x:v>
      </x:c>
      <x:c r="P167" s="13" t="n">
        <x:v>0.778561354019746</x:v>
      </x:c>
      <x:c r="Q167" s="13" t="n">
        <x:v>0.997179125528914</x:v>
      </x:c>
      <x:c r="R167" s="15" t="n">
        <x:v>0.9962405177634</x:v>
      </x:c>
      <x:c r="S167" s="17" t="n">
        <x:v>34.95367669835282</x:v>
      </x:c>
      <x:c r="T167" s="17" t="n">
        <x:v>35.310075212861726</x:v>
      </x:c>
      <x:c r="U167" s="23" t="b">
        <x:v>0</x:v>
      </x:c>
    </x:row>
    <x:row r="168" ht="22" customHeight="1">
      <x:c r="A168" s="7" t="str">
        <x:v>Source copy</x:v>
      </x:c>
      <x:c r="B168" s="9" t="n">
        <x:v>3</x:v>
      </x:c>
      <x:c r="C168" s="7" t="str">
        <x:v>Endothelial 1</x:v>
      </x:c>
      <x:c r="D168" s="11" t="n">
        <x:v>1176</x:v>
      </x:c>
      <x:c r="E168" s="22" t="n">
        <x:v>0.05223416540819</x:v>
      </x:c>
      <x:c r="F168" s="23" t="b">
        <x:v>0</x:v>
      </x:c>
      <x:c r="G168" s="11" t="n">
        <x:v>304</x:v>
      </x:c>
      <x:c r="H168" s="11" t="n">
        <x:v>296</x:v>
      </x:c>
      <x:c r="I168" s="13" t="n">
        <x:v>0.052386696536274</x:v>
      </x:c>
      <x:c r="J168" s="13" t="n">
        <x:v>0.051612903225806</x:v>
      </x:c>
      <x:c r="K168" s="17" t="n">
        <x:v>-0.077379331046789</x:v>
      </x:c>
      <x:c r="L168" s="13" t="n">
        <x:v>0.111842105263158</x:v>
      </x:c>
      <x:c r="M168" s="13" t="n">
        <x:v>0.427631578947368</x:v>
      </x:c>
      <x:c r="N168" s="13" t="n">
        <x:v>0.881578947368421</x:v>
      </x:c>
      <x:c r="O168" s="13" t="n">
        <x:v>0.16554054054054</x:v>
      </x:c>
      <x:c r="P168" s="13" t="n">
        <x:v>0.489864864864865</x:v>
      </x:c>
      <x:c r="Q168" s="13" t="n">
        <x:v>0.905405405405405</x:v>
      </x:c>
      <x:c r="R168" s="15" t="n">
        <x:v>0.995502367487884</x:v>
      </x:c>
      <x:c r="S168" s="17" t="n">
        <x:v>60.32762288405527</x:v>
      </x:c>
      <x:c r="T168" s="17" t="n">
        <x:v>55.14559715096527</x:v>
      </x:c>
      <x:c r="U168" s="23" t="b">
        <x:v>0</x:v>
      </x:c>
    </x:row>
    <x:row r="169" ht="22" customHeight="1">
      <x:c r="A169" s="7" t="str">
        <x:v>Source copy</x:v>
      </x:c>
      <x:c r="B169" s="9" t="n">
        <x:v>3</x:v>
      </x:c>
      <x:c r="C169" s="7" t="str">
        <x:v>Endothelial 2</x:v>
      </x:c>
      <x:c r="D169" s="11" t="n">
        <x:v>117</x:v>
      </x:c>
      <x:c r="E169" s="22" t="n">
        <x:v>0.005196766456427</x:v>
      </x:c>
      <x:c r="F169" s="23" t="b">
        <x:v>1</x:v>
      </x:c>
      <x:c r="G169" s="11" t="n">
        <x:v>27</x:v>
      </x:c>
      <x:c r="H169" s="11" t="n">
        <x:v>18</x:v>
      </x:c>
      <x:c r="I169" s="13" t="n">
        <x:v>0.004652765810788</x:v>
      </x:c>
      <x:c r="J169" s="13" t="n">
        <x:v>0.003138622493461</x:v>
      </x:c>
      <x:c r="K169" s="17" t="n">
        <x:v>-0.151414331732632</x:v>
      </x:c>
      <x:c r="L169" s="13" t="n">
        <x:v>0.037037037037037</x:v>
      </x:c>
      <x:c r="M169" s="13" t="n">
        <x:v>0.074074074074074</x:v>
      </x:c>
      <x:c r="N169" s="13" t="n">
        <x:v>0.222222222222222</x:v>
      </x:c>
      <x:c r="O169" s="13" t="n">
        <x:v>0.055555555555556</x:v>
      </x:c>
      <x:c r="P169" s="13" t="n">
        <x:v>0.111111111111111</x:v>
      </x:c>
      <x:c r="Q169" s="13" t="n">
        <x:v>0.333333333333333</x:v>
      </x:c>
      <x:c r="R169" s="15" t="n">
        <x:v>0.917150815945873</x:v>
      </x:c>
      <x:c r="S169" s="17" t="n">
        <x:v>274.9162371006705</x:v>
      </x:c>
      <x:c r="T169" s="17" t="n">
        <x:v>171.1508421592418</x:v>
      </x:c>
      <x:c r="U169" s="23" t="b">
        <x:v>0</x:v>
      </x:c>
    </x:row>
    <x:row r="170" ht="22" customHeight="1">
      <x:c r="A170" s="7" t="str">
        <x:v>Source copy</x:v>
      </x:c>
      <x:c r="B170" s="9" t="n">
        <x:v>3</x:v>
      </x:c>
      <x:c r="C170" s="7" t="str">
        <x:v>Endothelial 3</x:v>
      </x:c>
      <x:c r="D170" s="11" t="n">
        <x:v>455</x:v>
      </x:c>
      <x:c r="E170" s="22" t="n">
        <x:v>0.02020964733055</x:v>
      </x:c>
      <x:c r="F170" s="23" t="b">
        <x:v>1</x:v>
      </x:c>
      <x:c r="G170" s="11" t="n">
        <x:v>94</x:v>
      </x:c>
      <x:c r="H170" s="11" t="n">
        <x:v>112</x:v>
      </x:c>
      <x:c r="I170" s="13" t="n">
        <x:v>0.016198518007927</x:v>
      </x:c>
      <x:c r="J170" s="13" t="n">
        <x:v>0.019529206625981</x:v>
      </x:c>
      <x:c r="K170" s="17" t="n">
        <x:v>0.333068861805388</x:v>
      </x:c>
      <x:c r="L170" s="13" t="n">
        <x:v>0.042553191489362</x:v>
      </x:c>
      <x:c r="M170" s="13" t="n">
        <x:v>0.191489361702128</x:v>
      </x:c>
      <x:c r="N170" s="13" t="n">
        <x:v>0.585106382978723</x:v>
      </x:c>
      <x:c r="O170" s="13" t="n">
        <x:v>0.044642857142857</x:v>
      </x:c>
      <x:c r="P170" s="13" t="n">
        <x:v>0.205357142857143</x:v>
      </x:c>
      <x:c r="Q170" s="13" t="n">
        <x:v>0.6875</x:v>
      </x:c>
      <x:c r="R170" s="15" t="n">
        <x:v>0.986834591823004</x:v>
      </x:c>
      <x:c r="S170" s="17" t="n">
        <x:v>91.82727809843692</x:v>
      </x:c>
      <x:c r="T170" s="17" t="n">
        <x:v>88.72359087261736</x:v>
      </x:c>
      <x:c r="U170" s="23" t="b">
        <x:v>0</x:v>
      </x:c>
    </x:row>
    <x:row r="171" ht="22" customHeight="1">
      <x:c r="A171" s="7" t="str">
        <x:v>Source copy</x:v>
      </x:c>
      <x:c r="B171" s="9" t="n">
        <x:v>3</x:v>
      </x:c>
      <x:c r="C171" s="7" t="str">
        <x:v>Ependymal</x:v>
      </x:c>
      <x:c r="D171" s="11" t="n">
        <x:v>1055</x:v>
      </x:c>
      <x:c r="E171" s="22" t="n">
        <x:v>0.046859731722484</x:v>
      </x:c>
      <x:c r="F171" s="23" t="b">
        <x:v>1</x:v>
      </x:c>
      <x:c r="G171" s="11" t="n">
        <x:v>232</x:v>
      </x:c>
      <x:c r="H171" s="11" t="n">
        <x:v>246</x:v>
      </x:c>
      <x:c r="I171" s="13" t="n">
        <x:v>0.039979321040841</x:v>
      </x:c>
      <x:c r="J171" s="13" t="n">
        <x:v>0.042894507410636</x:v>
      </x:c>
      <x:c r="K171" s="17" t="n">
        <x:v>0.291518636979549</x:v>
      </x:c>
      <x:c r="L171" s="13" t="n">
        <x:v>0.883620689655172</x:v>
      </x:c>
      <x:c r="M171" s="13" t="n">
        <x:v>0.982758620689655</x:v>
      </x:c>
      <x:c r="N171" s="13" t="n">
        <x:v>1</x:v>
      </x:c>
      <x:c r="O171" s="13" t="n">
        <x:v>0.75609756097561</x:v>
      </x:c>
      <x:c r="P171" s="13" t="n">
        <x:v>0.902439024390244</x:v>
      </x:c>
      <x:c r="Q171" s="13" t="n">
        <x:v>1</x:v>
      </x:c>
      <x:c r="R171" s="15" t="n">
        <x:v>0.995145323993646</x:v>
      </x:c>
      <x:c r="S171" s="17" t="n">
        <x:v>13.954582519139311</x:v>
      </x:c>
      <x:c r="T171" s="17" t="n">
        <x:v>19.200853326414865</x:v>
      </x:c>
      <x:c r="U171" s="23" t="b">
        <x:v>0</x:v>
      </x:c>
    </x:row>
    <x:row r="172" ht="22" customHeight="1">
      <x:c r="A172" s="7" t="str">
        <x:v>Source copy</x:v>
      </x:c>
      <x:c r="B172" s="9" t="n">
        <x:v>3</x:v>
      </x:c>
      <x:c r="C172" s="7" t="str">
        <x:v>Excitatory</x:v>
      </x:c>
      <x:c r="D172" s="11" t="n">
        <x:v>4593</x:v>
      </x:c>
      <x:c r="E172" s="22" t="n">
        <x:v>0.204006396020254</x:v>
      </x:c>
      <x:c r="F172" s="23" t="b">
        <x:v>0</x:v>
      </x:c>
      <x:c r="G172" s="11" t="n">
        <x:v>1194</x:v>
      </x:c>
      <x:c r="H172" s="11" t="n">
        <x:v>1217</x:v>
      </x:c>
      <x:c r="I172" s="13" t="n">
        <x:v>0.205755643632604</x:v>
      </x:c>
      <x:c r="J172" s="13" t="n">
        <x:v>0.212205754141238</x:v>
      </x:c>
      <x:c r="K172" s="17" t="n">
        <x:v>0.64501105086342</x:v>
      </x:c>
      <x:c r="L172" s="13" t="n">
        <x:v>0.556113902847571</x:v>
      </x:c>
      <x:c r="M172" s="13" t="n">
        <x:v>0.917922948073702</x:v>
      </x:c>
      <x:c r="N172" s="13" t="n">
        <x:v>1</x:v>
      </x:c>
      <x:c r="O172" s="13" t="n">
        <x:v>0.593262119967132</x:v>
      </x:c>
      <x:c r="P172" s="13" t="n">
        <x:v>0.912078882497946</x:v>
      </x:c>
      <x:c r="Q172" s="13" t="n">
        <x:v>1</x:v>
      </x:c>
      <x:c r="R172" s="15" t="n">
        <x:v>0.995640944412445</x:v>
      </x:c>
      <x:c r="S172" s="17" t="n">
        <x:v>26.28896982085277</x:v>
      </x:c>
      <x:c r="T172" s="17" t="n">
        <x:v>25.490621541032866</x:v>
      </x:c>
      <x:c r="U172" s="23" t="b">
        <x:v>0</x:v>
      </x:c>
    </x:row>
    <x:row r="173" ht="22" customHeight="1">
      <x:c r="A173" s="7" t="str">
        <x:v>Source copy</x:v>
      </x:c>
      <x:c r="B173" s="9" t="n">
        <x:v>3</x:v>
      </x:c>
      <x:c r="C173" s="7" t="str">
        <x:v>Inhibitory</x:v>
      </x:c>
      <x:c r="D173" s="11" t="n">
        <x:v>9762</x:v>
      </x:c>
      <x:c r="E173" s="22" t="n">
        <x:v>0.433596873056765</x:v>
      </x:c>
      <x:c r="F173" s="23" t="b">
        <x:v>0</x:v>
      </x:c>
      <x:c r="G173" s="11" t="n">
        <x:v>2607</x:v>
      </x:c>
      <x:c r="H173" s="11" t="n">
        <x:v>2469</x:v>
      </x:c>
      <x:c r="I173" s="13" t="n">
        <x:v>0.449250387730484</x:v>
      </x:c>
      <x:c r="J173" s="13" t="n">
        <x:v>0.430514385353095</x:v>
      </x:c>
      <x:c r="K173" s="17" t="n">
        <x:v>-1.87360023773892</x:v>
      </x:c>
      <x:c r="L173" s="13" t="n">
        <x:v>0.769850402761795</x:v>
      </x:c>
      <x:c r="M173" s="13" t="n">
        <x:v>0.985807441503644</x:v>
      </x:c>
      <x:c r="N173" s="13" t="n">
        <x:v>0.998849252013809</x:v>
      </x:c>
      <x:c r="O173" s="13" t="n">
        <x:v>0.834750911300122</x:v>
      </x:c>
      <x:c r="P173" s="13" t="n">
        <x:v>0.974078574321588</x:v>
      </x:c>
      <x:c r="Q173" s="13" t="n">
        <x:v>0.994329688132847</x:v>
      </x:c>
      <x:c r="R173" s="15" t="n">
        <x:v>0.996506554721709</x:v>
      </x:c>
      <x:c r="S173" s="17" t="n">
        <x:v>18.388764639502863</x:v>
      </x:c>
      <x:c r="T173" s="17" t="n">
        <x:v>17.093018635034692</x:v>
      </x:c>
      <x:c r="U173" s="23" t="b">
        <x:v>0</x:v>
      </x:c>
    </x:row>
    <x:row r="174" ht="22" customHeight="1">
      <x:c r="A174" s="7" t="str">
        <x:v>Source copy</x:v>
      </x:c>
      <x:c r="B174" s="9" t="n">
        <x:v>3</x:v>
      </x:c>
      <x:c r="C174" s="7" t="str">
        <x:v>Microglia</x:v>
      </x:c>
      <x:c r="D174" s="11" t="n">
        <x:v>473</x:v>
      </x:c>
      <x:c r="E174" s="22" t="n">
        <x:v>0.021009149862308</x:v>
      </x:c>
      <x:c r="F174" s="23" t="b">
        <x:v>1</x:v>
      </x:c>
      <x:c r="G174" s="11" t="n">
        <x:v>121</x:v>
      </x:c>
      <x:c r="H174" s="11" t="n">
        <x:v>122</x:v>
      </x:c>
      <x:c r="I174" s="13" t="n">
        <x:v>0.020851283818714</x:v>
      </x:c>
      <x:c r="J174" s="13" t="n">
        <x:v>0.021272885789015</x:v>
      </x:c>
      <x:c r="K174" s="17" t="n">
        <x:v>0.042160197030036</x:v>
      </x:c>
      <x:c r="L174" s="13" t="n">
        <x:v>0.041322314049587</x:v>
      </x:c>
      <x:c r="M174" s="13" t="n">
        <x:v>0.148760330578512</x:v>
      </x:c>
      <x:c r="N174" s="13" t="n">
        <x:v>0.56198347107438</x:v>
      </x:c>
      <x:c r="O174" s="13" t="n">
        <x:v>0.049180327868852</x:v>
      </x:c>
      <x:c r="P174" s="13" t="n">
        <x:v>0.213114754098361</x:v>
      </x:c>
      <x:c r="Q174" s="13" t="n">
        <x:v>0.704918032786885</x:v>
      </x:c>
      <x:c r="R174" s="15" t="n">
        <x:v>0.987218377655324</x:v>
      </x:c>
      <x:c r="S174" s="17" t="n">
        <x:v>97.53768781774376</x:v>
      </x:c>
      <x:c r="T174" s="17" t="n">
        <x:v>82.51290304413362</x:v>
      </x:c>
      <x:c r="U174" s="23" t="b">
        <x:v>0</x:v>
      </x:c>
    </x:row>
    <x:row r="175" ht="22" customHeight="1">
      <x:c r="A175" s="7" t="str">
        <x:v>Source copy</x:v>
      </x:c>
      <x:c r="B175" s="9" t="n">
        <x:v>3</x:v>
      </x:c>
      <x:c r="C175" s="7" t="str">
        <x:v>OD Immature 1</x:v>
      </x:c>
      <x:c r="D175" s="11" t="n">
        <x:v>814</x:v>
      </x:c>
      <x:c r="E175" s="22" t="n">
        <x:v>0.03615528115839</x:v>
      </x:c>
      <x:c r="F175" s="23" t="b">
        <x:v>1</x:v>
      </x:c>
      <x:c r="G175" s="11" t="n">
        <x:v>198</x:v>
      </x:c>
      <x:c r="H175" s="11" t="n">
        <x:v>206</x:v>
      </x:c>
      <x:c r="I175" s="13" t="n">
        <x:v>0.034120282612442</x:v>
      </x:c>
      <x:c r="J175" s="13" t="n">
        <x:v>0.0359197907585</x:v>
      </x:c>
      <x:c r="K175" s="17" t="n">
        <x:v>0.179950814605859</x:v>
      </x:c>
      <x:c r="L175" s="13" t="n">
        <x:v>0.111111111111111</x:v>
      </x:c>
      <x:c r="M175" s="13" t="n">
        <x:v>0.378787878787879</x:v>
      </x:c>
      <x:c r="N175" s="13" t="n">
        <x:v>0.833333333333333</x:v>
      </x:c>
      <x:c r="O175" s="13" t="n">
        <x:v>0.106796116504854</x:v>
      </x:c>
      <x:c r="P175" s="13" t="n">
        <x:v>0.393203883495146</x:v>
      </x:c>
      <x:c r="Q175" s="13" t="n">
        <x:v>0.893203883495146</x:v>
      </x:c>
      <x:c r="R175" s="15" t="n">
        <x:v>0.99368851775649</x:v>
      </x:c>
      <x:c r="S175" s="17" t="n">
        <x:v>64.50858671041935</x:v>
      </x:c>
      <x:c r="T175" s="17" t="n">
        <x:v>62.32138808192711</x:v>
      </x:c>
      <x:c r="U175" s="23" t="b">
        <x:v>0</x:v>
      </x:c>
    </x:row>
    <x:row r="176" ht="22" customHeight="1">
      <x:c r="A176" s="7" t="str">
        <x:v>Source copy</x:v>
      </x:c>
      <x:c r="B176" s="9" t="n">
        <x:v>3</x:v>
      </x:c>
      <x:c r="C176" s="7" t="str">
        <x:v>OD Immature 2</x:v>
      </x:c>
      <x:c r="D176" s="11" t="n">
        <x:v>26</x:v>
      </x:c>
      <x:c r="E176" s="22" t="n">
        <x:v>0.001154836990317</x:v>
      </x:c>
      <x:c r="F176" s="23" t="b">
        <x:v>1</x:v>
      </x:c>
      <x:c r="G176" s="11" t="n">
        <x:v>7</x:v>
      </x:c>
      <x:c r="H176" s="11" t="n">
        <x:v>6</x:v>
      </x:c>
      <x:c r="I176" s="13" t="n">
        <x:v>0.001206272617612</x:v>
      </x:c>
      <x:c r="J176" s="13" t="n">
        <x:v>0.00104620749782</x:v>
      </x:c>
      <x:c r="K176" s="17" t="n">
        <x:v>-0.016006511979118</x:v>
      </x:c>
      <x:c r="L176" s="13" t="n">
        <x:v>0</x:v>
      </x:c>
      <x:c r="M176" s="13" t="n">
        <x:v>0</x:v>
      </x:c>
      <x:c r="N176" s="13" t="n">
        <x:v>0</x:v>
      </x:c>
      <x:c r="O176" s="13" t="n">
        <x:v>0</x:v>
      </x:c>
      <x:c r="P176" s="13" t="n">
        <x:v>0</x:v>
      </x:c>
      <x:c r="Q176" s="13" t="n">
        <x:v>0</x:v>
      </x:c>
      <x:c r="R176" s="15" t="n">
        <x:v>0.745166980783419</x:v>
      </x:c>
      <x:c r="S176" s="17" t="n">
        <x:v>346.7913616471541</x:v>
      </x:c>
      <x:c r="T176" s="17" t="n">
        <x:v>314.4829914453078</x:v>
      </x:c>
      <x:c r="U176" s="23" t="b">
        <x:v>0</x:v>
      </x:c>
    </x:row>
    <x:row r="177" ht="22" customHeight="1">
      <x:c r="A177" s="7" t="str">
        <x:v>Source copy</x:v>
      </x:c>
      <x:c r="B177" s="9" t="n">
        <x:v>3</x:v>
      </x:c>
      <x:c r="C177" s="7" t="str">
        <x:v>OD Mature 1</x:v>
      </x:c>
      <x:c r="D177" s="11" t="n">
        <x:v>192</x:v>
      </x:c>
      <x:c r="E177" s="22" t="n">
        <x:v>0.008528027005419</x:v>
      </x:c>
      <x:c r="F177" s="23" t="b">
        <x:v>1</x:v>
      </x:c>
      <x:c r="G177" s="11" t="n">
        <x:v>46</x:v>
      </x:c>
      <x:c r="H177" s="11" t="n">
        <x:v>46</x:v>
      </x:c>
      <x:c r="I177" s="13" t="n">
        <x:v>0.007926934344305</x:v>
      </x:c>
      <x:c r="J177" s="13" t="n">
        <x:v>0.008020924149956</x:v>
      </x:c>
      <x:c r="K177" s="17" t="n">
        <x:v>0.009398980565174</x:v>
      </x:c>
      <x:c r="L177" s="13" t="n">
        <x:v>0.065217391304348</x:v>
      </x:c>
      <x:c r="M177" s="13" t="n">
        <x:v>0.217391304347826</x:v>
      </x:c>
      <x:c r="N177" s="13" t="n">
        <x:v>0.58695652173913</x:v>
      </x:c>
      <x:c r="O177" s="13" t="n">
        <x:v>0.08695652173913</x:v>
      </x:c>
      <x:c r="P177" s="13" t="n">
        <x:v>0.260869565217391</x:v>
      </x:c>
      <x:c r="Q177" s="13" t="n">
        <x:v>0.543478260869565</x:v>
      </x:c>
      <x:c r="R177" s="15" t="n">
        <x:v>0.987006118757606</x:v>
      </x:c>
      <x:c r="S177" s="17" t="n">
        <x:v>102.86827806155968</x:v>
      </x:c>
      <x:c r="T177" s="17" t="n">
        <x:v>111.53060969040456</x:v>
      </x:c>
      <x:c r="U177" s="23" t="b">
        <x:v>0</x:v>
      </x:c>
    </x:row>
    <x:row r="178" ht="22" customHeight="1">
      <x:c r="A178" s="7" t="str">
        <x:v>Source copy</x:v>
      </x:c>
      <x:c r="B178" s="9" t="n">
        <x:v>3</x:v>
      </x:c>
      <x:c r="C178" s="7" t="str">
        <x:v>OD Mature 2</x:v>
      </x:c>
      <x:c r="D178" s="11" t="n">
        <x:v>907</x:v>
      </x:c>
      <x:c r="E178" s="22" t="n">
        <x:v>0.04028604423914</x:v>
      </x:c>
      <x:c r="F178" s="23" t="b">
        <x:v>1</x:v>
      </x:c>
      <x:c r="G178" s="11" t="n">
        <x:v>246</x:v>
      </x:c>
      <x:c r="H178" s="11" t="n">
        <x:v>230</x:v>
      </x:c>
      <x:c r="I178" s="13" t="n">
        <x:v>0.042391866276064</x:v>
      </x:c>
      <x:c r="J178" s="13" t="n">
        <x:v>0.040104620749782</x:v>
      </x:c>
      <x:c r="K178" s="17" t="n">
        <x:v>-0.228724552628206</x:v>
      </x:c>
      <x:c r="L178" s="13" t="n">
        <x:v>0.284552845528455</x:v>
      </x:c>
      <x:c r="M178" s="13" t="n">
        <x:v>0.613821138211382</x:v>
      </x:c>
      <x:c r="N178" s="13" t="n">
        <x:v>0.845528455284553</x:v>
      </x:c>
      <x:c r="O178" s="13" t="n">
        <x:v>0.339130434782609</x:v>
      </x:c>
      <x:c r="P178" s="13" t="n">
        <x:v>0.621739130434783</x:v>
      </x:c>
      <x:c r="Q178" s="13" t="n">
        <x:v>0.934782608695652</x:v>
      </x:c>
      <x:c r="R178" s="15" t="n">
        <x:v>0.99779188398946</x:v>
      </x:c>
      <x:c r="S178" s="17" t="n">
        <x:v>57.40609515781675</x:v>
      </x:c>
      <x:c r="T178" s="17" t="n">
        <x:v>47.21047843278469</x:v>
      </x:c>
      <x:c r="U178" s="23" t="b">
        <x:v>0</x:v>
      </x:c>
    </x:row>
    <x:row r="179" ht="22" customHeight="1">
      <x:c r="A179" s="7" t="str">
        <x:v>Source copy</x:v>
      </x:c>
      <x:c r="B179" s="9" t="n">
        <x:v>3</x:v>
      </x:c>
      <x:c r="C179" s="7" t="str">
        <x:v>OD Mature 3</x:v>
      </x:c>
      <x:c r="D179" s="11" t="n">
        <x:v>11</x:v>
      </x:c>
      <x:c r="E179" s="22" t="n">
        <x:v>0.000488584880519</x:v>
      </x:c>
      <x:c r="F179" s="23" t="b">
        <x:v>1</x:v>
      </x:c>
      <x:c r="G179" s="11" t="n">
        <x:v>3</x:v>
      </x:c>
      <x:c r="H179" s="11" t="n">
        <x:v>4</x:v>
      </x:c>
      <x:c r="I179" s="13" t="n">
        <x:v>0.000516973978976</x:v>
      </x:c>
      <x:c r="J179" s="13" t="n">
        <x:v>0.000697471665214</x:v>
      </x:c>
      <x:c r="K179" s="17" t="n">
        <x:v>0.018049768623721</x:v>
      </x:c>
      <x:c r="L179" s="13" t="n">
        <x:v>0</x:v>
      </x:c>
      <x:c r="M179" s="13" t="n">
        <x:v>0</x:v>
      </x:c>
      <x:c r="N179" s="13" t="n">
        <x:v>0</x:v>
      </x:c>
      <x:c r="O179" s="13" t="n">
        <x:v>0</x:v>
      </x:c>
      <x:c r="P179" s="13" t="n">
        <x:v>0</x:v>
      </x:c>
      <x:c r="Q179" s="13" t="n">
        <x:v>0</x:v>
      </x:c>
      <x:c r="R179" s="15" t="n">
        <x:v>0.87799436777879</x:v>
      </x:c>
      <x:c r="S179" s="17" t="n">
        <x:v>675.0092507177918</x:v>
      </x:c>
      <x:c r="T179" s="17" t="n">
        <x:v>594.1608096262119</x:v>
      </x:c>
      <x:c r="U179" s="23" t="b">
        <x:v>0</x:v>
      </x:c>
    </x:row>
    <x:row r="180" ht="22" customHeight="1">
      <x:c r="A180" s="7" t="str">
        <x:v>Source copy</x:v>
      </x:c>
      <x:c r="B180" s="9" t="n">
        <x:v>3</x:v>
      </x:c>
      <x:c r="C180" s="7" t="str">
        <x:v>OD Mature 4</x:v>
      </x:c>
      <x:c r="D180" s="11" t="n">
        <x:v>39</x:v>
      </x:c>
      <x:c r="E180" s="22" t="n">
        <x:v>0.001732255485476</x:v>
      </x:c>
      <x:c r="F180" s="23" t="b">
        <x:v>1</x:v>
      </x:c>
      <x:c r="G180" s="11" t="n">
        <x:v>8</x:v>
      </x:c>
      <x:c r="H180" s="11" t="n">
        <x:v>10</x:v>
      </x:c>
      <x:c r="I180" s="13" t="n">
        <x:v>0.00137859727727</x:v>
      </x:c>
      <x:c r="J180" s="13" t="n">
        <x:v>0.001743679163034</x:v>
      </x:c>
      <x:c r="K180" s="17" t="n">
        <x:v>0.036508188576362</x:v>
      </x:c>
      <x:c r="L180" s="13" t="n">
        <x:v>0.125</x:v>
      </x:c>
      <x:c r="M180" s="13" t="n">
        <x:v>0.25</x:v>
      </x:c>
      <x:c r="N180" s="13" t="n">
        <x:v>0.625</x:v>
      </x:c>
      <x:c r="O180" s="13" t="n">
        <x:v>0.2</x:v>
      </x:c>
      <x:c r="P180" s="13" t="n">
        <x:v>0.3</x:v>
      </x:c>
      <x:c r="Q180" s="13" t="n">
        <x:v>0.3</x:v>
      </x:c>
      <x:c r="R180" s="15" t="n">
        <x:v>0.957173943699403</x:v>
      </x:c>
      <x:c r="S180" s="17" t="n">
        <x:v>503.2047721101442</x:v>
      </x:c>
      <x:c r="T180" s="17" t="n">
        <x:v>367.43724240185367</x:v>
      </x:c>
      <x:c r="U180" s="23" t="b">
        <x:v>0</x:v>
      </x:c>
    </x:row>
    <x:row r="181" ht="22" customHeight="1">
      <x:c r="A181" s="7" t="str">
        <x:v>Source copy</x:v>
      </x:c>
      <x:c r="B181" s="9" t="n">
        <x:v>3</x:v>
      </x:c>
      <x:c r="C181" s="7" t="str">
        <x:v>Pericytes</x:v>
      </x:c>
      <x:c r="D181" s="11" t="n">
        <x:v>152</x:v>
      </x:c>
      <x:c r="E181" s="22" t="n">
        <x:v>0.006751354712623</x:v>
      </x:c>
      <x:c r="F181" s="23" t="b">
        <x:v>1</x:v>
      </x:c>
      <x:c r="G181" s="11" t="n">
        <x:v>52</x:v>
      </x:c>
      <x:c r="H181" s="11" t="n">
        <x:v>44</x:v>
      </x:c>
      <x:c r="I181" s="13" t="n">
        <x:v>0.008960882302257</x:v>
      </x:c>
      <x:c r="J181" s="13" t="n">
        <x:v>0.00767218831735</x:v>
      </x:c>
      <x:c r="K181" s="17" t="n">
        <x:v>-0.128869398490784</x:v>
      </x:c>
      <x:c r="L181" s="13" t="n">
        <x:v>0.134615384615385</x:v>
      </x:c>
      <x:c r="M181" s="13" t="n">
        <x:v>0.346153846153846</x:v>
      </x:c>
      <x:c r="N181" s="13" t="n">
        <x:v>0.769230769230769</x:v>
      </x:c>
      <x:c r="O181" s="13" t="n">
        <x:v>0.045454545454545</x:v>
      </x:c>
      <x:c r="P181" s="13" t="n">
        <x:v>0.25</x:v>
      </x:c>
      <x:c r="Q181" s="13" t="n">
        <x:v>0.454545454545454</x:v>
      </x:c>
      <x:c r="R181" s="15" t="n">
        <x:v>0.949144505205203</x:v>
      </x:c>
      <x:c r="S181" s="17" t="n">
        <x:v>117.32676838562794</x:v>
      </x:c>
      <x:c r="T181" s="17" t="n">
        <x:v>149.10660704100303</x:v>
      </x:c>
      <x:c r="U181" s="23" t="b">
        <x:v>0</x:v>
      </x:c>
    </x:row>
    <x:row r="182" ht="22" customHeight="1">
      <x:c r="A182" s="7" t="str">
        <x:v>G real</x:v>
      </x:c>
      <x:c r="B182" s="9" t="n">
        <x:v>1</x:v>
      </x:c>
      <x:c r="C182" s="7" t="str">
        <x:v>Astrocyte</x:v>
      </x:c>
      <x:c r="D182" s="11" t="n">
        <x:v>2772</x:v>
      </x:c>
      <x:c r="E182" s="22" t="n">
        <x:v>0.121792618629174</x:v>
      </x:c>
      <x:c r="F182" s="23" t="b">
        <x:v>0</x:v>
      </x:c>
      <x:c r="G182" s="11" t="n">
        <x:v>634</x:v>
      </x:c>
      <x:c r="H182" s="11" t="n">
        <x:v>683</x:v>
      </x:c>
      <x:c r="I182" s="13" t="n">
        <x:v>0.114090336512507</x:v>
      </x:c>
      <x:c r="J182" s="13" t="n">
        <x:v>0.11967758892588</x:v>
      </x:c>
      <x:c r="K182" s="17" t="n">
        <x:v>0.558725241337375</x:v>
      </x:c>
      <x:c r="L182" s="13" t="n">
        <x:v>0.293375394321766</x:v>
      </x:c>
      <x:c r="M182" s="13" t="n">
        <x:v>0.749211356466877</x:v>
      </x:c>
      <x:c r="N182" s="13" t="n">
        <x:v>0.995268138801262</x:v>
      </x:c>
      <x:c r="O182" s="13" t="n">
        <x:v>0.319180087847731</x:v>
      </x:c>
      <x:c r="P182" s="13" t="n">
        <x:v>0.787701317715959</x:v>
      </x:c>
      <x:c r="Q182" s="13" t="n">
        <x:v>0.998535871156662</x:v>
      </x:c>
      <x:c r="R182" s="15" t="n">
        <x:v>0.997298479719736</x:v>
      </x:c>
      <x:c r="S182" s="17" t="n">
        <x:v>38.362125492280754</x:v>
      </x:c>
      <x:c r="T182" s="17" t="n">
        <x:v>35.847612501160214</x:v>
      </x:c>
      <x:c r="U182" s="23" t="b">
        <x:v>0</x:v>
      </x:c>
    </x:row>
    <x:row r="183" ht="22" customHeight="1">
      <x:c r="A183" s="7" t="str">
        <x:v>G real</x:v>
      </x:c>
      <x:c r="B183" s="9" t="n">
        <x:v>1</x:v>
      </x:c>
      <x:c r="C183" s="7" t="str">
        <x:v>Endothelial 1</x:v>
      </x:c>
      <x:c r="D183" s="11" t="n">
        <x:v>1209</x:v>
      </x:c>
      <x:c r="E183" s="22" t="n">
        <x:v>0.053119507908612</x:v>
      </x:c>
      <x:c r="F183" s="23" t="b">
        <x:v>0</x:v>
      </x:c>
      <x:c r="G183" s="11" t="n">
        <x:v>271</x:v>
      </x:c>
      <x:c r="H183" s="11" t="n">
        <x:v>303</x:v>
      </x:c>
      <x:c r="I183" s="13" t="n">
        <x:v>0.048767320496671</x:v>
      </x:c>
      <x:c r="J183" s="13" t="n">
        <x:v>0.053092693183809</x:v>
      </x:c>
      <x:c r="K183" s="17" t="n">
        <x:v>0.432537268713849</x:v>
      </x:c>
      <x:c r="L183" s="13" t="n">
        <x:v>0.129151291512915</x:v>
      </x:c>
      <x:c r="M183" s="13" t="n">
        <x:v>0.420664206642066</x:v>
      </x:c>
      <x:c r="N183" s="13" t="n">
        <x:v>0.892988929889299</x:v>
      </x:c>
      <x:c r="O183" s="13" t="n">
        <x:v>0.148514851485148</x:v>
      </x:c>
      <x:c r="P183" s="13" t="n">
        <x:v>0.465346534653465</x:v>
      </x:c>
      <x:c r="Q183" s="13" t="n">
        <x:v>0.867986798679868</x:v>
      </x:c>
      <x:c r="R183" s="15" t="n">
        <x:v>0.996584600232906</x:v>
      </x:c>
      <x:c r="S183" s="17" t="n">
        <x:v>59.879171236289125</x:v>
      </x:c>
      <x:c r="T183" s="17" t="n">
        <x:v>58.74146232686152</x:v>
      </x:c>
      <x:c r="U183" s="23" t="b">
        <x:v>0</x:v>
      </x:c>
    </x:row>
    <x:row r="184" ht="22" customHeight="1">
      <x:c r="A184" s="7" t="str">
        <x:v>G real</x:v>
      </x:c>
      <x:c r="B184" s="9" t="n">
        <x:v>1</x:v>
      </x:c>
      <x:c r="C184" s="7" t="str">
        <x:v>Endothelial 2</x:v>
      </x:c>
      <x:c r="D184" s="11" t="n">
        <x:v>103</x:v>
      </x:c>
      <x:c r="E184" s="22" t="n">
        <x:v>0.004525483304042</x:v>
      </x:c>
      <x:c r="F184" s="23" t="b">
        <x:v>1</x:v>
      </x:c>
      <x:c r="G184" s="11" t="n">
        <x:v>41</x:v>
      </x:c>
      <x:c r="H184" s="11" t="n">
        <x:v>29</x:v>
      </x:c>
      <x:c r="I184" s="13" t="n">
        <x:v>0.007378081698758</x:v>
      </x:c>
      <x:c r="J184" s="13" t="n">
        <x:v>0.005081478885579</x:v>
      </x:c>
      <x:c r="K184" s="17" t="n">
        <x:v>-0.229660281317921</x:v>
      </x:c>
      <x:c r="L184" s="13" t="n">
        <x:v>0.146341463414634</x:v>
      </x:c>
      <x:c r="M184" s="13" t="n">
        <x:v>0.219512195121951</x:v>
      </x:c>
      <x:c r="N184" s="13" t="n">
        <x:v>0.414634146341463</x:v>
      </x:c>
      <x:c r="O184" s="13" t="n">
        <x:v>0.206896551724138</x:v>
      </x:c>
      <x:c r="P184" s="13" t="n">
        <x:v>0.517241379310345</x:v>
      </x:c>
      <x:c r="Q184" s="13" t="n">
        <x:v>0.793103448275862</x:v>
      </x:c>
      <x:c r="R184" s="15" t="n">
        <x:v>0.919947326278882</x:v>
      </x:c>
      <x:c r="S184" s="17" t="n">
        <x:v>195.0210616428063</x:v>
      </x:c>
      <x:c r="T184" s="17" t="n">
        <x:v>79.79644708591654</x:v>
      </x:c>
      <x:c r="U184" s="23" t="b">
        <x:v>0</x:v>
      </x:c>
    </x:row>
    <x:row r="185" ht="22" customHeight="1">
      <x:c r="A185" s="7" t="str">
        <x:v>G real</x:v>
      </x:c>
      <x:c r="B185" s="9" t="n">
        <x:v>1</x:v>
      </x:c>
      <x:c r="C185" s="7" t="str">
        <x:v>Endothelial 3</x:v>
      </x:c>
      <x:c r="D185" s="11" t="n">
        <x:v>433</x:v>
      </x:c>
      <x:c r="E185" s="22" t="n">
        <x:v>0.01902460456942</x:v>
      </x:c>
      <x:c r="F185" s="23" t="b">
        <x:v>1</x:v>
      </x:c>
      <x:c r="G185" s="11" t="n">
        <x:v>116</x:v>
      </x:c>
      <x:c r="H185" s="11" t="n">
        <x:v>111</x:v>
      </x:c>
      <x:c r="I185" s="13" t="n">
        <x:v>0.020874572611121</x:v>
      </x:c>
      <x:c r="J185" s="13" t="n">
        <x:v>0.019449798493079</x:v>
      </x:c>
      <x:c r="K185" s="17" t="n">
        <x:v>-0.142477411804243</x:v>
      </x:c>
      <x:c r="L185" s="13" t="n">
        <x:v>0.051724137931034</x:v>
      </x:c>
      <x:c r="M185" s="13" t="n">
        <x:v>0.206896551724138</x:v>
      </x:c>
      <x:c r="N185" s="13" t="n">
        <x:v>0.560344827586207</x:v>
      </x:c>
      <x:c r="O185" s="13" t="n">
        <x:v>0.063063063063063</x:v>
      </x:c>
      <x:c r="P185" s="13" t="n">
        <x:v>0.225225225225225</x:v>
      </x:c>
      <x:c r="Q185" s="13" t="n">
        <x:v>0.675675675675676</x:v>
      </x:c>
      <x:c r="R185" s="15" t="n">
        <x:v>0.989939283374694</x:v>
      </x:c>
      <x:c r="S185" s="17" t="n">
        <x:v>95.78285804505838</x:v>
      </x:c>
      <x:c r="T185" s="17" t="n">
        <x:v>80.06800959279508</x:v>
      </x:c>
      <x:c r="U185" s="23" t="b">
        <x:v>0</x:v>
      </x:c>
    </x:row>
    <x:row r="186" ht="22" customHeight="1">
      <x:c r="A186" s="7" t="str">
        <x:v>G real</x:v>
      </x:c>
      <x:c r="B186" s="9" t="n">
        <x:v>1</x:v>
      </x:c>
      <x:c r="C186" s="7" t="str">
        <x:v>Ependymal</x:v>
      </x:c>
      <x:c r="D186" s="11" t="n">
        <x:v>982</x:v>
      </x:c>
      <x:c r="E186" s="22" t="n">
        <x:v>0.043145869947276</x:v>
      </x:c>
      <x:c r="F186" s="23" t="b">
        <x:v>1</x:v>
      </x:c>
      <x:c r="G186" s="11" t="n">
        <x:v>305</x:v>
      </x:c>
      <x:c r="H186" s="11" t="n">
        <x:v>266</x:v>
      </x:c>
      <x:c r="I186" s="13" t="n">
        <x:v>0.054885729710275</x:v>
      </x:c>
      <x:c r="J186" s="13" t="n">
        <x:v>0.04660942701945</x:v>
      </x:c>
      <x:c r="K186" s="17" t="n">
        <x:v>-0.827630269082553</x:v>
      </x:c>
      <x:c r="L186" s="13" t="n">
        <x:v>0.763934426229508</x:v>
      </x:c>
      <x:c r="M186" s="13" t="n">
        <x:v>0.99016393442623</x:v>
      </x:c>
      <x:c r="N186" s="13" t="n">
        <x:v>1</x:v>
      </x:c>
      <x:c r="O186" s="13" t="n">
        <x:v>0.796992481203008</x:v>
      </x:c>
      <x:c r="P186" s="13" t="n">
        <x:v>0.966165413533834</x:v>
      </x:c>
      <x:c r="Q186" s="13" t="n">
        <x:v>0.996240601503759</x:v>
      </x:c>
      <x:c r="R186" s="15" t="n">
        <x:v>0.996283801254946</x:v>
      </x:c>
      <x:c r="S186" s="17" t="n">
        <x:v>18.225485210007687</x:v>
      </x:c>
      <x:c r="T186" s="17" t="n">
        <x:v>17.116612123167474</x:v>
      </x:c>
      <x:c r="U186" s="23" t="b">
        <x:v>0</x:v>
      </x:c>
    </x:row>
    <x:row r="187" ht="22" customHeight="1">
      <x:c r="A187" s="7" t="str">
        <x:v>G real</x:v>
      </x:c>
      <x:c r="B187" s="9" t="n">
        <x:v>1</x:v>
      </x:c>
      <x:c r="C187" s="7" t="str">
        <x:v>Excitatory</x:v>
      </x:c>
      <x:c r="D187" s="11" t="n">
        <x:v>4700</x:v>
      </x:c>
      <x:c r="E187" s="22" t="n">
        <x:v>0.206502636203866</x:v>
      </x:c>
      <x:c r="F187" s="23" t="b">
        <x:v>0</x:v>
      </x:c>
      <x:c r="G187" s="11" t="n">
        <x:v>1087</x:v>
      </x:c>
      <x:c r="H187" s="11" t="n">
        <x:v>1142</x:v>
      </x:c>
      <x:c r="I187" s="13" t="n">
        <x:v>0.195609141623178</x:v>
      </x:c>
      <x:c r="J187" s="13" t="n">
        <x:v>0.200105134045908</x:v>
      </x:c>
      <x:c r="K187" s="17" t="n">
        <x:v>0.449599242273058</x:v>
      </x:c>
      <x:c r="L187" s="13" t="n">
        <x:v>0.552897884084637</x:v>
      </x:c>
      <x:c r="M187" s="13" t="n">
        <x:v>0.908923643054278</x:v>
      </x:c>
      <x:c r="N187" s="13" t="n">
        <x:v>0.993560257589696</x:v>
      </x:c>
      <x:c r="O187" s="13" t="n">
        <x:v>0.54553415061296</x:v>
      </x:c>
      <x:c r="P187" s="13" t="n">
        <x:v>0.903677758318739</x:v>
      </x:c>
      <x:c r="Q187" s="13" t="n">
        <x:v>0.985989492119089</x:v>
      </x:c>
      <x:c r="R187" s="15" t="n">
        <x:v>0.993707502030589</x:v>
      </x:c>
      <x:c r="S187" s="17" t="n">
        <x:v>26.40049475433675</x:v>
      </x:c>
      <x:c r="T187" s="17" t="n">
        <x:v>27.318644510556144</x:v>
      </x:c>
      <x:c r="U187" s="23" t="b">
        <x:v>0</x:v>
      </x:c>
    </x:row>
    <x:row r="188" ht="22" customHeight="1">
      <x:c r="A188" s="7" t="str">
        <x:v>G real</x:v>
      </x:c>
      <x:c r="B188" s="9" t="n">
        <x:v>1</x:v>
      </x:c>
      <x:c r="C188" s="7" t="str">
        <x:v>Inhibitory</x:v>
      </x:c>
      <x:c r="D188" s="11" t="n">
        <x:v>9839</x:v>
      </x:c>
      <x:c r="E188" s="22" t="n">
        <x:v>0.432293497363796</x:v>
      </x:c>
      <x:c r="F188" s="23" t="b">
        <x:v>0</x:v>
      </x:c>
      <x:c r="G188" s="11" t="n">
        <x:v>2530</x:v>
      </x:c>
      <x:c r="H188" s="11" t="n">
        <x:v>2502</x:v>
      </x:c>
      <x:c r="I188" s="13" t="n">
        <x:v>0.455281626777038</x:v>
      </x:c>
      <x:c r="J188" s="13" t="n">
        <x:v>0.438408971438584</x:v>
      </x:c>
      <x:c r="K188" s="17" t="n">
        <x:v>-1.687265533845378</x:v>
      </x:c>
      <x:c r="L188" s="13" t="n">
        <x:v>0.81501976284585</x:v>
      </x:c>
      <x:c r="M188" s="13" t="n">
        <x:v>0.991304347826087</x:v>
      </x:c>
      <x:c r="N188" s="13" t="n">
        <x:v>0.998814229249012</x:v>
      </x:c>
      <x:c r="O188" s="13" t="n">
        <x:v>0.848920863309353</x:v>
      </x:c>
      <x:c r="P188" s="13" t="n">
        <x:v>0.980015987210232</x:v>
      </x:c>
      <x:c r="Q188" s="13" t="n">
        <x:v>0.999600319744205</x:v>
      </x:c>
      <x:c r="R188" s="15" t="n">
        <x:v>0.99551479358849</x:v>
      </x:c>
      <x:c r="S188" s="17" t="n">
        <x:v>17.354928751618058</x:v>
      </x:c>
      <x:c r="T188" s="17" t="n">
        <x:v>16.340025850198217</x:v>
      </x:c>
      <x:c r="U188" s="23" t="b">
        <x:v>0</x:v>
      </x:c>
    </x:row>
    <x:row r="189" ht="22" customHeight="1">
      <x:c r="A189" s="7" t="str">
        <x:v>G real</x:v>
      </x:c>
      <x:c r="B189" s="9" t="n">
        <x:v>1</x:v>
      </x:c>
      <x:c r="C189" s="7" t="str">
        <x:v>Microglia</x:v>
      </x:c>
      <x:c r="D189" s="11" t="n">
        <x:v>486</x:v>
      </x:c>
      <x:c r="E189" s="22" t="n">
        <x:v>0.021353251318102</x:v>
      </x:c>
      <x:c r="F189" s="23" t="b">
        <x:v>1</x:v>
      </x:c>
      <x:c r="G189" s="11" t="n">
        <x:v>108</x:v>
      </x:c>
      <x:c r="H189" s="11" t="n">
        <x:v>129</x:v>
      </x:c>
      <x:c r="I189" s="13" t="n">
        <x:v>0.019434946913802</x:v>
      </x:c>
      <x:c r="J189" s="13" t="n">
        <x:v>0.022603819870335</x:v>
      </x:c>
      <x:c r="K189" s="17" t="n">
        <x:v>0.316887295653227</x:v>
      </x:c>
      <x:c r="L189" s="13" t="n">
        <x:v>0.083333333333333</x:v>
      </x:c>
      <x:c r="M189" s="13" t="n">
        <x:v>0.222222222222222</x:v>
      </x:c>
      <x:c r="N189" s="13" t="n">
        <x:v>0.638888888888889</x:v>
      </x:c>
      <x:c r="O189" s="13" t="n">
        <x:v>0.085271317829457</x:v>
      </x:c>
      <x:c r="P189" s="13" t="n">
        <x:v>0.248062015503876</x:v>
      </x:c>
      <x:c r="Q189" s="13" t="n">
        <x:v>0.689922480620155</x:v>
      </x:c>
      <x:c r="R189" s="15" t="n">
        <x:v>0.983970168592141</x:v>
      </x:c>
      <x:c r="S189" s="17" t="n">
        <x:v>86.77269787134121</x:v>
      </x:c>
      <x:c r="T189" s="17" t="n">
        <x:v>84.77888983834708</x:v>
      </x:c>
      <x:c r="U189" s="23" t="b">
        <x:v>0</x:v>
      </x:c>
    </x:row>
    <x:row r="190" ht="22" customHeight="1">
      <x:c r="A190" s="7" t="str">
        <x:v>G real</x:v>
      </x:c>
      <x:c r="B190" s="9" t="n">
        <x:v>1</x:v>
      </x:c>
      <x:c r="C190" s="7" t="str">
        <x:v>OD Immature 1</x:v>
      </x:c>
      <x:c r="D190" s="11" t="n">
        <x:v>829</x:v>
      </x:c>
      <x:c r="E190" s="22" t="n">
        <x:v>0.036423550087873</x:v>
      </x:c>
      <x:c r="F190" s="23" t="b">
        <x:v>1</x:v>
      </x:c>
      <x:c r="G190" s="11" t="n">
        <x:v>183</x:v>
      </x:c>
      <x:c r="H190" s="11" t="n">
        <x:v>205</x:v>
      </x:c>
      <x:c r="I190" s="13" t="n">
        <x:v>0.032931437826165</x:v>
      </x:c>
      <x:c r="J190" s="13" t="n">
        <x:v>0.035920799018749</x:v>
      </x:c>
      <x:c r="K190" s="17" t="n">
        <x:v>0.29893611925837</x:v>
      </x:c>
      <x:c r="L190" s="13" t="n">
        <x:v>0.103825136612022</x:v>
      </x:c>
      <x:c r="M190" s="13" t="n">
        <x:v>0.344262295081967</x:v>
      </x:c>
      <x:c r="N190" s="13" t="n">
        <x:v>0.841530054644809</x:v>
      </x:c>
      <x:c r="O190" s="13" t="n">
        <x:v>0.11219512195122</x:v>
      </x:c>
      <x:c r="P190" s="13" t="n">
        <x:v>0.390243902439024</x:v>
      </x:c>
      <x:c r="Q190" s="13" t="n">
        <x:v>0.882926829268293</x:v>
      </x:c>
      <x:c r="R190" s="15" t="n">
        <x:v>0.994608959273279</x:v>
      </x:c>
      <x:c r="S190" s="17" t="n">
        <x:v>66.13317832869417</x:v>
      </x:c>
      <x:c r="T190" s="17" t="n">
        <x:v>62.16950372880592</x:v>
      </x:c>
      <x:c r="U190" s="23" t="b">
        <x:v>0</x:v>
      </x:c>
    </x:row>
    <x:row r="191" ht="22" customHeight="1">
      <x:c r="A191" s="7" t="str">
        <x:v>G real</x:v>
      </x:c>
      <x:c r="B191" s="9" t="n">
        <x:v>1</x:v>
      </x:c>
      <x:c r="C191" s="7" t="str">
        <x:v>OD Immature 2</x:v>
      </x:c>
      <x:c r="D191" s="11" t="n">
        <x:v>28</x:v>
      </x:c>
      <x:c r="E191" s="22" t="n">
        <x:v>0.001230228471002</x:v>
      </x:c>
      <x:c r="F191" s="23" t="b">
        <x:v>1</x:v>
      </x:c>
      <x:c r="G191" s="11" t="n">
        <x:v>5</x:v>
      </x:c>
      <x:c r="H191" s="11" t="n">
        <x:v>7</x:v>
      </x:c>
      <x:c r="I191" s="13" t="n">
        <x:v>0.000899766060824</x:v>
      </x:c>
      <x:c r="J191" s="13" t="n">
        <x:v>0.001226563868933</x:v>
      </x:c>
      <x:c r="K191" s="17" t="n">
        <x:v>0.03267978081087</x:v>
      </x:c>
      <x:c r="L191" s="13" t="n">
        <x:v>0</x:v>
      </x:c>
      <x:c r="M191" s="13" t="n">
        <x:v>0</x:v>
      </x:c>
      <x:c r="N191" s="13" t="n">
        <x:v>0.2</x:v>
      </x:c>
      <x:c r="O191" s="13" t="n">
        <x:v>0</x:v>
      </x:c>
      <x:c r="P191" s="13" t="n">
        <x:v>0</x:v>
      </x:c>
      <x:c r="Q191" s="13" t="n">
        <x:v>0.428571428571428</x:v>
      </x:c>
      <x:c r="R191" s="15" t="n">
        <x:v>0.569389923330482</x:v>
      </x:c>
      <x:c r="S191" s="17" t="n">
        <x:v>394.1633291853733</x:v>
      </x:c>
      <x:c r="T191" s="17" t="n">
        <x:v>268.15107555309885</x:v>
      </x:c>
      <x:c r="U191" s="23" t="b">
        <x:v>0</x:v>
      </x:c>
    </x:row>
    <x:row r="192" ht="22" customHeight="1">
      <x:c r="A192" s="7" t="str">
        <x:v>G real</x:v>
      </x:c>
      <x:c r="B192" s="9" t="n">
        <x:v>1</x:v>
      </x:c>
      <x:c r="C192" s="7" t="str">
        <x:v>OD Mature 1</x:v>
      </x:c>
      <x:c r="D192" s="11" t="n">
        <x:v>209</x:v>
      </x:c>
      <x:c r="E192" s="22" t="n">
        <x:v>0.009182776801406</x:v>
      </x:c>
      <x:c r="F192" s="23" t="b">
        <x:v>1</x:v>
      </x:c>
      <x:c r="G192" s="11" t="n">
        <x:v>29</x:v>
      </x:c>
      <x:c r="H192" s="11" t="n">
        <x:v>58</x:v>
      </x:c>
      <x:c r="I192" s="13" t="n">
        <x:v>0.00521864315278</x:v>
      </x:c>
      <x:c r="J192" s="13" t="n">
        <x:v>0.010162957771158</x:v>
      </x:c>
      <x:c r="K192" s="17" t="n">
        <x:v>0.494431461837795</x:v>
      </x:c>
      <x:c r="L192" s="13" t="n">
        <x:v>0</x:v>
      </x:c>
      <x:c r="M192" s="13" t="n">
        <x:v>0.137931034482759</x:v>
      </x:c>
      <x:c r="N192" s="13" t="n">
        <x:v>0.482758620689655</x:v>
      </x:c>
      <x:c r="O192" s="13" t="n">
        <x:v>0</x:v>
      </x:c>
      <x:c r="P192" s="13" t="n">
        <x:v>0.155172413793103</x:v>
      </x:c>
      <x:c r="Q192" s="13" t="n">
        <x:v>0.396551724137931</x:v>
      </x:c>
      <x:c r="R192" s="15" t="n">
        <x:v>0.981592579009839</x:v>
      </x:c>
      <x:c r="S192" s="17" t="n">
        <x:v>112.96136717338892</x:v>
      </x:c>
      <x:c r="T192" s="17" t="n">
        <x:v>138.2291975761031</x:v>
      </x:c>
      <x:c r="U192" s="23" t="b">
        <x:v>0</x:v>
      </x:c>
    </x:row>
    <x:row r="193" ht="22" customHeight="1">
      <x:c r="A193" s="7" t="str">
        <x:v>G real</x:v>
      </x:c>
      <x:c r="B193" s="9" t="n">
        <x:v>1</x:v>
      </x:c>
      <x:c r="C193" s="7" t="str">
        <x:v>OD Mature 2</x:v>
      </x:c>
      <x:c r="D193" s="11" t="n">
        <x:v>956</x:v>
      </x:c>
      <x:c r="E193" s="22" t="n">
        <x:v>0.042003514938488</x:v>
      </x:c>
      <x:c r="F193" s="23" t="b">
        <x:v>1</x:v>
      </x:c>
      <x:c r="G193" s="11" t="n">
        <x:v>197</x:v>
      </x:c>
      <x:c r="H193" s="11" t="n">
        <x:v>235</x:v>
      </x:c>
      <x:c r="I193" s="13" t="n">
        <x:v>0.035450782796473</x:v>
      </x:c>
      <x:c r="J193" s="13" t="n">
        <x:v>0.041177501314176</x:v>
      </x:c>
      <x:c r="K193" s="17" t="n">
        <x:v>0.572671851770266</x:v>
      </x:c>
      <x:c r="L193" s="13" t="n">
        <x:v>0.309644670050761</x:v>
      </x:c>
      <x:c r="M193" s="13" t="n">
        <x:v>0.522842639593909</x:v>
      </x:c>
      <x:c r="N193" s="13" t="n">
        <x:v>0.83248730964467</x:v>
      </x:c>
      <x:c r="O193" s="13" t="n">
        <x:v>0.28936170212766</x:v>
      </x:c>
      <x:c r="P193" s="13" t="n">
        <x:v>0.548936170212766</x:v>
      </x:c>
      <x:c r="Q193" s="13" t="n">
        <x:v>0.85531914893617</x:v>
      </x:c>
      <x:c r="R193" s="15" t="n">
        <x:v>0.99756051694269</x:v>
      </x:c>
      <x:c r="S193" s="17" t="n">
        <x:v>60.70302958919621</x:v>
      </x:c>
      <x:c r="T193" s="17" t="n">
        <x:v>56.31483114611297</x:v>
      </x:c>
      <x:c r="U193" s="23" t="b">
        <x:v>0</x:v>
      </x:c>
    </x:row>
    <x:row r="194" ht="22" customHeight="1">
      <x:c r="A194" s="7" t="str">
        <x:v>G real</x:v>
      </x:c>
      <x:c r="B194" s="9" t="n">
        <x:v>1</x:v>
      </x:c>
      <x:c r="C194" s="7" t="str">
        <x:v>OD Mature 3</x:v>
      </x:c>
      <x:c r="D194" s="11" t="n">
        <x:v>11</x:v>
      </x:c>
      <x:c r="E194" s="22" t="n">
        <x:v>0.000483304042179</x:v>
      </x:c>
      <x:c r="F194" s="23" t="b">
        <x:v>1</x:v>
      </x:c>
      <x:c r="G194" s="11" t="n">
        <x:v>3</x:v>
      </x:c>
      <x:c r="H194" s="11" t="n">
        <x:v>1</x:v>
      </x:c>
      <x:c r="I194" s="13" t="n">
        <x:v>0.000539859636494</x:v>
      </x:c>
      <x:c r="J194" s="13" t="n">
        <x:v>0.000175223409848</x:v>
      </x:c>
      <x:c r="K194" s="17" t="n">
        <x:v>-0.036463622664696</x:v>
      </x:c>
      <x:c r="L194" s="13" t="n">
        <x:v>0</x:v>
      </x:c>
      <x:c r="M194" s="13" t="n">
        <x:v>0</x:v>
      </x:c>
      <x:c r="N194" s="13" t="n">
        <x:v>0</x:v>
      </x:c>
      <x:c r="O194" s="13" t="n">
        <x:v>0</x:v>
      </x:c>
      <x:c r="P194" s="13" t="n">
        <x:v>0</x:v>
      </x:c>
      <x:c r="Q194" s="13" t="n">
        <x:v>0</x:v>
      </x:c>
      <x:c r="R194" s="15" t="n">
        <x:v>0.81494485223816</x:v>
      </x:c>
      <x:c r="S194" s="17" t="n">
        <x:v>1300.9490817891462</x:v>
      </x:c>
      <x:c r="T194" s="17" t="n">
        <x:v>855.1351147914795</x:v>
      </x:c>
      <x:c r="U194" s="23" t="b">
        <x:v>0</x:v>
      </x:c>
    </x:row>
    <x:row r="195" ht="22" customHeight="1">
      <x:c r="A195" s="7" t="str">
        <x:v>G real</x:v>
      </x:c>
      <x:c r="B195" s="9" t="n">
        <x:v>1</x:v>
      </x:c>
      <x:c r="C195" s="7" t="str">
        <x:v>OD Mature 4</x:v>
      </x:c>
      <x:c r="D195" s="11" t="n">
        <x:v>36</x:v>
      </x:c>
      <x:c r="E195" s="22" t="n">
        <x:v>0.001581722319859</x:v>
      </x:c>
      <x:c r="F195" s="23" t="b">
        <x:v>1</x:v>
      </x:c>
      <x:c r="G195" s="11" t="n">
        <x:v>11</x:v>
      </x:c>
      <x:c r="H195" s="11" t="n">
        <x:v>9</x:v>
      </x:c>
      <x:c r="I195" s="13" t="n">
        <x:v>0.001979485333813</x:v>
      </x:c>
      <x:c r="J195" s="13" t="n">
        <x:v>0.001577010688628</x:v>
      </x:c>
      <x:c r="K195" s="17" t="n">
        <x:v>-0.040247464518521</x:v>
      </x:c>
      <x:c r="L195" s="13" t="n">
        <x:v>0</x:v>
      </x:c>
      <x:c r="M195" s="13" t="n">
        <x:v>0</x:v>
      </x:c>
      <x:c r="N195" s="13" t="n">
        <x:v>0.363636363636364</x:v>
      </x:c>
      <x:c r="O195" s="13" t="n">
        <x:v>0</x:v>
      </x:c>
      <x:c r="P195" s="13" t="n">
        <x:v>0</x:v>
      </x:c>
      <x:c r="Q195" s="13" t="n">
        <x:v>0.333333333333333</x:v>
      </x:c>
      <x:c r="R195" s="15" t="n">
        <x:v>0.903219059597434</x:v>
      </x:c>
      <x:c r="S195" s="17" t="n">
        <x:v>456.4283420031337</x:v>
      </x:c>
      <x:c r="T195" s="17" t="n">
        <x:v>211.91747762832244</x:v>
      </x:c>
      <x:c r="U195" s="23" t="b">
        <x:v>0</x:v>
      </x:c>
    </x:row>
    <x:row r="196" ht="22" customHeight="1">
      <x:c r="A196" s="7" t="str">
        <x:v>G real</x:v>
      </x:c>
      <x:c r="B196" s="9" t="n">
        <x:v>1</x:v>
      </x:c>
      <x:c r="C196" s="7" t="str">
        <x:v>Pericytes</x:v>
      </x:c>
      <x:c r="D196" s="11" t="n">
        <x:v>167</x:v>
      </x:c>
      <x:c r="E196" s="22" t="n">
        <x:v>0.007337434094903</x:v>
      </x:c>
      <x:c r="F196" s="23" t="b">
        <x:v>1</x:v>
      </x:c>
      <x:c r="G196" s="11" t="n">
        <x:v>37</x:v>
      </x:c>
      <x:c r="H196" s="11" t="n">
        <x:v>27</x:v>
      </x:c>
      <x:c r="I196" s="13" t="n">
        <x:v>0.006658268850099</x:v>
      </x:c>
      <x:c r="J196" s="13" t="n">
        <x:v>0.004731032065884</x:v>
      </x:c>
      <x:c r="K196" s="17" t="n">
        <x:v>-0.192723678421497</x:v>
      </x:c>
      <x:c r="L196" s="13" t="n">
        <x:v>0.027027027027027</x:v>
      </x:c>
      <x:c r="M196" s="13" t="n">
        <x:v>0.216216216216216</x:v>
      </x:c>
      <x:c r="N196" s="13" t="n">
        <x:v>0.27027027027027</x:v>
      </x:c>
      <x:c r="O196" s="13" t="n">
        <x:v>0.037037037037037</x:v>
      </x:c>
      <x:c r="P196" s="13" t="n">
        <x:v>0.259259259259259</x:v>
      </x:c>
      <x:c r="Q196" s="13" t="n">
        <x:v>0.481481481481481</x:v>
      </x:c>
      <x:c r="R196" s="15" t="n">
        <x:v>0.972879655175052</x:v>
      </x:c>
      <x:c r="S196" s="17" t="n">
        <x:v>199.59933992704435</x:v>
      </x:c>
      <x:c r="T196" s="17" t="n">
        <x:v>165.93432463003515</x:v>
      </x:c>
      <x:c r="U196" s="23" t="b">
        <x:v>0</x:v>
      </x:c>
    </x:row>
    <x:row r="197" ht="22" customHeight="1">
      <x:c r="A197" s="7" t="str">
        <x:v>G real</x:v>
      </x:c>
      <x:c r="B197" s="9" t="n">
        <x:v>2</x:v>
      </x:c>
      <x:c r="C197" s="7" t="str">
        <x:v>Astrocyte</x:v>
      </x:c>
      <x:c r="D197" s="11" t="n">
        <x:v>2738</x:v>
      </x:c>
      <x:c r="E197" s="22" t="n">
        <x:v>0.122281273726051</x:v>
      </x:c>
      <x:c r="F197" s="23" t="b">
        <x:v>0</x:v>
      </x:c>
      <x:c r="G197" s="11" t="n">
        <x:v>668</x:v>
      </x:c>
      <x:c r="H197" s="11" t="n">
        <x:v>649</x:v>
      </x:c>
      <x:c r="I197" s="13" t="n">
        <x:v>0.112723590955113</x:v>
      </x:c>
      <x:c r="J197" s="13" t="n">
        <x:v>0.114260563380282</x:v>
      </x:c>
      <x:c r="K197" s="17" t="n">
        <x:v>0.153697242516863</x:v>
      </x:c>
      <x:c r="L197" s="13" t="n">
        <x:v>0.31437125748503</x:v>
      </x:c>
      <x:c r="M197" s="13" t="n">
        <x:v>0.732035928143712</x:v>
      </x:c>
      <x:c r="N197" s="13" t="n">
        <x:v>0.991017964071856</x:v>
      </x:c>
      <x:c r="O197" s="13" t="n">
        <x:v>0.357473035439137</x:v>
      </x:c>
      <x:c r="P197" s="13" t="n">
        <x:v>0.805855161787365</x:v>
      </x:c>
      <x:c r="Q197" s="13" t="n">
        <x:v>0.996918335901387</x:v>
      </x:c>
      <x:c r="R197" s="15" t="n">
        <x:v>0.996025149772952</x:v>
      </x:c>
      <x:c r="S197" s="17" t="n">
        <x:v>38.06082927949002</x:v>
      </x:c>
      <x:c r="T197" s="17" t="n">
        <x:v>34.34536800638757</x:v>
      </x:c>
      <x:c r="U197" s="23" t="b">
        <x:v>0</x:v>
      </x:c>
    </x:row>
    <x:row r="198" ht="22" customHeight="1">
      <x:c r="A198" s="7" t="str">
        <x:v>G real</x:v>
      </x:c>
      <x:c r="B198" s="9" t="n">
        <x:v>2</x:v>
      </x:c>
      <x:c r="C198" s="7" t="str">
        <x:v>Endothelial 1</x:v>
      </x:c>
      <x:c r="D198" s="11" t="n">
        <x:v>1190</x:v>
      </x:c>
      <x:c r="E198" s="22" t="n">
        <x:v>0.053146353445581</x:v>
      </x:c>
      <x:c r="F198" s="23" t="b">
        <x:v>0</x:v>
      </x:c>
      <x:c r="G198" s="11" t="n">
        <x:v>290</x:v>
      </x:c>
      <x:c r="H198" s="11" t="n">
        <x:v>287</x:v>
      </x:c>
      <x:c r="I198" s="13" t="n">
        <x:v>0.048936888288896</x:v>
      </x:c>
      <x:c r="J198" s="13" t="n">
        <x:v>0.050528169014084</x:v>
      </x:c>
      <x:c r="K198" s="17" t="n">
        <x:v>0.159128072518812</x:v>
      </x:c>
      <x:c r="L198" s="13" t="n">
        <x:v>0.120689655172414</x:v>
      </x:c>
      <x:c r="M198" s="13" t="n">
        <x:v>0.413793103448276</x:v>
      </x:c>
      <x:c r="N198" s="13" t="n">
        <x:v>0.858620689655172</x:v>
      </x:c>
      <x:c r="O198" s="13" t="n">
        <x:v>0.177700348432056</x:v>
      </x:c>
      <x:c r="P198" s="13" t="n">
        <x:v>0.543554006968641</x:v>
      </x:c>
      <x:c r="Q198" s="13" t="n">
        <x:v>0.965156794425087</x:v>
      </x:c>
      <x:c r="R198" s="15" t="n">
        <x:v>0.996403805491681</x:v>
      </x:c>
      <x:c r="S198" s="17" t="n">
        <x:v>68.68038459063692</x:v>
      </x:c>
      <x:c r="T198" s="17" t="n">
        <x:v>50.33703526241642</x:v>
      </x:c>
      <x:c r="U198" s="23" t="b">
        <x:v>0</x:v>
      </x:c>
    </x:row>
    <x:row r="199" ht="22" customHeight="1">
      <x:c r="A199" s="7" t="str">
        <x:v>G real</x:v>
      </x:c>
      <x:c r="B199" s="9" t="n">
        <x:v>2</x:v>
      </x:c>
      <x:c r="C199" s="7" t="str">
        <x:v>Endothelial 2</x:v>
      </x:c>
      <x:c r="D199" s="11" t="n">
        <x:v>127</x:v>
      </x:c>
      <x:c r="E199" s="22" t="n">
        <x:v>0.005671921754276</x:v>
      </x:c>
      <x:c r="F199" s="23" t="b">
        <x:v>1</x:v>
      </x:c>
      <x:c r="G199" s="11" t="n">
        <x:v>17</x:v>
      </x:c>
      <x:c r="H199" s="11" t="n">
        <x:v>35</x:v>
      </x:c>
      <x:c r="I199" s="13" t="n">
        <x:v>0.002868714141073</x:v>
      </x:c>
      <x:c r="J199" s="13" t="n">
        <x:v>0.006161971830986</x:v>
      </x:c>
      <x:c r="K199" s="17" t="n">
        <x:v>0.329325768991268</x:v>
      </x:c>
      <x:c r="L199" s="13" t="n">
        <x:v>0.117647058823529</x:v>
      </x:c>
      <x:c r="M199" s="13" t="n">
        <x:v>0.176470588235294</x:v>
      </x:c>
      <x:c r="N199" s="13" t="n">
        <x:v>0.294117647058824</x:v>
      </x:c>
      <x:c r="O199" s="13" t="n">
        <x:v>0.057142857142857</x:v>
      </x:c>
      <x:c r="P199" s="13" t="n">
        <x:v>0.085714285714286</x:v>
      </x:c>
      <x:c r="Q199" s="13" t="n">
        <x:v>0.114285714285714</x:v>
      </x:c>
      <x:c r="R199" s="15" t="n">
        <x:v>0.937493265032338</x:v>
      </x:c>
      <x:c r="S199" s="17" t="n">
        <x:v>167.35117733127444</x:v>
      </x:c>
      <x:c r="T199" s="17" t="n">
        <x:v>223.33978502586984</x:v>
      </x:c>
      <x:c r="U199" s="23" t="b">
        <x:v>0</x:v>
      </x:c>
    </x:row>
    <x:row r="200" ht="22" customHeight="1">
      <x:c r="A200" s="7" t="str">
        <x:v>G real</x:v>
      </x:c>
      <x:c r="B200" s="9" t="n">
        <x:v>2</x:v>
      </x:c>
      <x:c r="C200" s="7" t="str">
        <x:v>Endothelial 3</x:v>
      </x:c>
      <x:c r="D200" s="11" t="n">
        <x:v>442</x:v>
      </x:c>
      <x:c r="E200" s="22" t="n">
        <x:v>0.01974007413693</x:v>
      </x:c>
      <x:c r="F200" s="23" t="b">
        <x:v>1</x:v>
      </x:c>
      <x:c r="G200" s="11" t="n">
        <x:v>107</x:v>
      </x:c>
      <x:c r="H200" s="11" t="n">
        <x:v>105</x:v>
      </x:c>
      <x:c r="I200" s="13" t="n">
        <x:v>0.018056024299696</x:v>
      </x:c>
      <x:c r="J200" s="13" t="n">
        <x:v>0.018485915492958</x:v>
      </x:c>
      <x:c r="K200" s="17" t="n">
        <x:v>0.042989119326149</x:v>
      </x:c>
      <x:c r="L200" s="13" t="n">
        <x:v>0.065420560747664</x:v>
      </x:c>
      <x:c r="M200" s="13" t="n">
        <x:v>0.149532710280374</x:v>
      </x:c>
      <x:c r="N200" s="13" t="n">
        <x:v>0.532710280373832</x:v>
      </x:c>
      <x:c r="O200" s="13" t="n">
        <x:v>0.066666666666667</x:v>
      </x:c>
      <x:c r="P200" s="13" t="n">
        <x:v>0.161904761904762</x:v>
      </x:c>
      <x:c r="Q200" s="13" t="n">
        <x:v>0.552380952380952</x:v>
      </x:c>
      <x:c r="R200" s="15" t="n">
        <x:v>0.985145108341171</x:v>
      </x:c>
      <x:c r="S200" s="17" t="n">
        <x:v>96.13571809233213</x:v>
      </x:c>
      <x:c r="T200" s="17" t="n">
        <x:v>94.8000206189447</x:v>
      </x:c>
      <x:c r="U200" s="23" t="b">
        <x:v>0</x:v>
      </x:c>
    </x:row>
    <x:row r="201" ht="22" customHeight="1">
      <x:c r="A201" s="7" t="str">
        <x:v>G real</x:v>
      </x:c>
      <x:c r="B201" s="9" t="n">
        <x:v>2</x:v>
      </x:c>
      <x:c r="C201" s="7" t="str">
        <x:v>Ependymal</x:v>
      </x:c>
      <x:c r="D201" s="11" t="n">
        <x:v>1014</x:v>
      </x:c>
      <x:c r="E201" s="22" t="n">
        <x:v>0.045286052431781</x:v>
      </x:c>
      <x:c r="F201" s="23" t="b">
        <x:v>1</x:v>
      </x:c>
      <x:c r="G201" s="11" t="n">
        <x:v>273</x:v>
      </x:c>
      <x:c r="H201" s="11" t="n">
        <x:v>269</x:v>
      </x:c>
      <x:c r="I201" s="13" t="n">
        <x:v>0.046068174147823</x:v>
      </x:c>
      <x:c r="J201" s="13" t="n">
        <x:v>0.047359154929577</x:v>
      </x:c>
      <x:c r="K201" s="17" t="n">
        <x:v>0.129098078175431</x:v>
      </x:c>
      <x:c r="L201" s="13" t="n">
        <x:v>0.798534798534799</x:v>
      </x:c>
      <x:c r="M201" s="13" t="n">
        <x:v>0.992673992673993</x:v>
      </x:c>
      <x:c r="N201" s="13" t="n">
        <x:v>1</x:v>
      </x:c>
      <x:c r="O201" s="13" t="n">
        <x:v>0.765799256505576</x:v>
      </x:c>
      <x:c r="P201" s="13" t="n">
        <x:v>0.936802973977695</x:v>
      </x:c>
      <x:c r="Q201" s="13" t="n">
        <x:v>1</x:v>
      </x:c>
      <x:c r="R201" s="15" t="n">
        <x:v>0.99615959655833</x:v>
      </x:c>
      <x:c r="S201" s="17" t="n">
        <x:v>16.603112131550933</x:v>
      </x:c>
      <x:c r="T201" s="17" t="n">
        <x:v>19.552088946546395</x:v>
      </x:c>
      <x:c r="U201" s="23" t="b">
        <x:v>0</x:v>
      </x:c>
    </x:row>
    <x:row r="202" ht="22" customHeight="1">
      <x:c r="A202" s="7" t="str">
        <x:v>G real</x:v>
      </x:c>
      <x:c r="B202" s="9" t="n">
        <x:v>2</x:v>
      </x:c>
      <x:c r="C202" s="7" t="str">
        <x:v>Excitatory</x:v>
      </x:c>
      <x:c r="D202" s="11" t="n">
        <x:v>4575</x:v>
      </x:c>
      <x:c r="E202" s="22" t="n">
        <x:v>0.20432316555759</x:v>
      </x:c>
      <x:c r="F202" s="23" t="b">
        <x:v>0</x:v>
      </x:c>
      <x:c r="G202" s="11" t="n">
        <x:v>1212</x:v>
      </x:c>
      <x:c r="H202" s="11" t="n">
        <x:v>1140</x:v>
      </x:c>
      <x:c r="I202" s="13" t="n">
        <x:v>0.204522443469457</x:v>
      </x:c>
      <x:c r="J202" s="13" t="n">
        <x:v>0.200704225352113</x:v>
      </x:c>
      <x:c r="K202" s="17" t="n">
        <x:v>-0.381821811734395</x:v>
      </x:c>
      <x:c r="L202" s="13" t="n">
        <x:v>0.500825082508251</x:v>
      </x:c>
      <x:c r="M202" s="13" t="n">
        <x:v>0.892739273927393</x:v>
      </x:c>
      <x:c r="N202" s="13" t="n">
        <x:v>0.996699669966997</x:v>
      </x:c>
      <x:c r="O202" s="13" t="n">
        <x:v>0.566666666666667</x:v>
      </x:c>
      <x:c r="P202" s="13" t="n">
        <x:v>0.917543859649123</x:v>
      </x:c>
      <x:c r="Q202" s="13" t="n">
        <x:v>1</x:v>
      </x:c>
      <x:c r="R202" s="15" t="n">
        <x:v>0.995582771871141</x:v>
      </x:c>
      <x:c r="S202" s="17" t="n">
        <x:v>27.84175447347901</x:v>
      </x:c>
      <x:c r="T202" s="17" t="n">
        <x:v>25.17073893707554</x:v>
      </x:c>
      <x:c r="U202" s="23" t="b">
        <x:v>0</x:v>
      </x:c>
    </x:row>
    <x:row r="203" ht="22" customHeight="1">
      <x:c r="A203" s="7" t="str">
        <x:v>G real</x:v>
      </x:c>
      <x:c r="B203" s="9" t="n">
        <x:v>2</x:v>
      </x:c>
      <x:c r="C203" s="7" t="str">
        <x:v>Inhibitory</x:v>
      </x:c>
      <x:c r="D203" s="11" t="n">
        <x:v>9639</x:v>
      </x:c>
      <x:c r="E203" s="22" t="n">
        <x:v>0.430485462909205</x:v>
      </x:c>
      <x:c r="F203" s="23" t="b">
        <x:v>0</x:v>
      </x:c>
      <x:c r="G203" s="11" t="n">
        <x:v>2730</x:v>
      </x:c>
      <x:c r="H203" s="11" t="n">
        <x:v>2569</x:v>
      </x:c>
      <x:c r="I203" s="13" t="n">
        <x:v>0.460681741478232</x:v>
      </x:c>
      <x:c r="J203" s="13" t="n">
        <x:v>0.452288732394366</x:v>
      </x:c>
      <x:c r="K203" s="17" t="n">
        <x:v>-0.839300908386537</x:v>
      </x:c>
      <x:c r="L203" s="13" t="n">
        <x:v>0.77948717948718</x:v>
      </x:c>
      <x:c r="M203" s="13" t="n">
        <x:v>0.975091575091575</x:v>
      </x:c>
      <x:c r="N203" s="13" t="n">
        <x:v>0.998901098901099</x:v>
      </x:c>
      <x:c r="O203" s="13" t="n">
        <x:v>0.85441806150253</x:v>
      </x:c>
      <x:c r="P203" s="13" t="n">
        <x:v>0.981704943557805</x:v>
      </x:c>
      <x:c r="Q203" s="13" t="n">
        <x:v>0.99883223043986</x:v>
      </x:c>
      <x:c r="R203" s="15" t="n">
        <x:v>0.99693044012647</x:v>
      </x:c>
      <x:c r="S203" s="17" t="n">
        <x:v>18.488645145765584</x:v>
      </x:c>
      <x:c r="T203" s="17" t="n">
        <x:v>15.93450353645801</x:v>
      </x:c>
      <x:c r="U203" s="23" t="b">
        <x:v>0</x:v>
      </x:c>
    </x:row>
    <x:row r="204" ht="22" customHeight="1">
      <x:c r="A204" s="7" t="str">
        <x:v>G real</x:v>
      </x:c>
      <x:c r="B204" s="9" t="n">
        <x:v>2</x:v>
      </x:c>
      <x:c r="C204" s="7" t="str">
        <x:v>Microglia</x:v>
      </x:c>
      <x:c r="D204" s="11" t="n">
        <x:v>454</x:v>
      </x:c>
      <x:c r="E204" s="22" t="n">
        <x:v>0.020276003751507</x:v>
      </x:c>
      <x:c r="F204" s="23" t="b">
        <x:v>1</x:v>
      </x:c>
      <x:c r="G204" s="11" t="n">
        <x:v>140</x:v>
      </x:c>
      <x:c r="H204" s="11" t="n">
        <x:v>114</x:v>
      </x:c>
      <x:c r="I204" s="13" t="n">
        <x:v>0.023624704691191</x:v>
      </x:c>
      <x:c r="J204" s="13" t="n">
        <x:v>0.020070422535211</x:v>
      </x:c>
      <x:c r="K204" s="17" t="n">
        <x:v>-0.355428215598009</x:v>
      </x:c>
      <x:c r="L204" s="13" t="n">
        <x:v>0.042857142857143</x:v>
      </x:c>
      <x:c r="M204" s="13" t="n">
        <x:v>0.15</x:v>
      </x:c>
      <x:c r="N204" s="13" t="n">
        <x:v>0.535714285714286</x:v>
      </x:c>
      <x:c r="O204" s="13" t="n">
        <x:v>0.06140350877193</x:v>
      </x:c>
      <x:c r="P204" s="13" t="n">
        <x:v>0.201754385964912</x:v>
      </x:c>
      <x:c r="Q204" s="13" t="n">
        <x:v>0.780701754385965</x:v>
      </x:c>
      <x:c r="R204" s="15" t="n">
        <x:v>0.986016723132719</x:v>
      </x:c>
      <x:c r="S204" s="17" t="n">
        <x:v>107.57519418456256</x:v>
      </x:c>
      <x:c r="T204" s="17" t="n">
        <x:v>77.34492553646346</x:v>
      </x:c>
      <x:c r="U204" s="23" t="b">
        <x:v>0</x:v>
      </x:c>
    </x:row>
    <x:row r="205" ht="22" customHeight="1">
      <x:c r="A205" s="7" t="str">
        <x:v>G real</x:v>
      </x:c>
      <x:c r="B205" s="9" t="n">
        <x:v>2</x:v>
      </x:c>
      <x:c r="C205" s="7" t="str">
        <x:v>OD Immature 1</x:v>
      </x:c>
      <x:c r="D205" s="11" t="n">
        <x:v>826</x:v>
      </x:c>
      <x:c r="E205" s="22" t="n">
        <x:v>0.036889821803403</x:v>
      </x:c>
      <x:c r="F205" s="23" t="b">
        <x:v>1</x:v>
      </x:c>
      <x:c r="G205" s="11" t="n">
        <x:v>186</x:v>
      </x:c>
      <x:c r="H205" s="11" t="n">
        <x:v>191</x:v>
      </x:c>
      <x:c r="I205" s="13" t="n">
        <x:v>0.031387107661154</x:v>
      </x:c>
      <x:c r="J205" s="13" t="n">
        <x:v>0.03362676056338</x:v>
      </x:c>
      <x:c r="K205" s="17" t="n">
        <x:v>0.223965290222604</x:v>
      </x:c>
      <x:c r="L205" s="13" t="n">
        <x:v>0.075268817204301</x:v>
      </x:c>
      <x:c r="M205" s="13" t="n">
        <x:v>0.311827956989247</x:v>
      </x:c>
      <x:c r="N205" s="13" t="n">
        <x:v>0.817204301075269</x:v>
      </x:c>
      <x:c r="O205" s="13" t="n">
        <x:v>0.094240837696335</x:v>
      </x:c>
      <x:c r="P205" s="13" t="n">
        <x:v>0.37696335078534</x:v>
      </x:c>
      <x:c r="Q205" s="13" t="n">
        <x:v>0.905759162303665</x:v>
      </x:c>
      <x:c r="R205" s="15" t="n">
        <x:v>0.993284634033693</x:v>
      </x:c>
      <x:c r="S205" s="17" t="n">
        <x:v>70.55875299153685</x:v>
      </x:c>
      <x:c r="T205" s="17" t="n">
        <x:v>59.48936398071795</x:v>
      </x:c>
      <x:c r="U205" s="23" t="b">
        <x:v>0</x:v>
      </x:c>
    </x:row>
    <x:row r="206" ht="22" customHeight="1">
      <x:c r="A206" s="7" t="str">
        <x:v>G real</x:v>
      </x:c>
      <x:c r="B206" s="9" t="n">
        <x:v>2</x:v>
      </x:c>
      <x:c r="C206" s="7" t="str">
        <x:v>OD Immature 2</x:v>
      </x:c>
      <x:c r="D206" s="11" t="n">
        <x:v>28</x:v>
      </x:c>
      <x:c r="E206" s="22" t="n">
        <x:v>0.001250502434014</x:v>
      </x:c>
      <x:c r="F206" s="23" t="b">
        <x:v>1</x:v>
      </x:c>
      <x:c r="G206" s="11" t="n">
        <x:v>5</x:v>
      </x:c>
      <x:c r="H206" s="11" t="n">
        <x:v>6</x:v>
      </x:c>
      <x:c r="I206" s="13" t="n">
        <x:v>0.000843739453257</x:v>
      </x:c>
      <x:c r="J206" s="13" t="n">
        <x:v>0.001056338028169</x:v>
      </x:c>
      <x:c r="K206" s="17" t="n">
        <x:v>0.021259857491218</x:v>
      </x:c>
      <x:c r="L206" s="13" t="n">
        <x:v>0</x:v>
      </x:c>
      <x:c r="M206" s="13" t="n">
        <x:v>0</x:v>
      </x:c>
      <x:c r="N206" s="13" t="n">
        <x:v>0</x:v>
      </x:c>
      <x:c r="O206" s="13" t="n">
        <x:v>0</x:v>
      </x:c>
      <x:c r="P206" s="13" t="n">
        <x:v>0</x:v>
      </x:c>
      <x:c r="Q206" s="13" t="n">
        <x:v>0</x:v>
      </x:c>
      <x:c r="R206" s="15" t="n">
        <x:v>0.719385451435504</x:v>
      </x:c>
      <x:c r="S206" s="17" t="n">
        <x:v>200.15354523477885</x:v>
      </x:c>
      <x:c r="T206" s="17" t="n">
        <x:v>532.9173990088196</x:v>
      </x:c>
      <x:c r="U206" s="23" t="b">
        <x:v>0</x:v>
      </x:c>
    </x:row>
    <x:row r="207" ht="22" customHeight="1">
      <x:c r="A207" s="7" t="str">
        <x:v>G real</x:v>
      </x:c>
      <x:c r="B207" s="9" t="n">
        <x:v>2</x:v>
      </x:c>
      <x:c r="C207" s="7" t="str">
        <x:v>OD Mature 1</x:v>
      </x:c>
      <x:c r="D207" s="11" t="n">
        <x:v>195</x:v>
      </x:c>
      <x:c r="E207" s="22" t="n">
        <x:v>0.008708856236881</x:v>
      </x:c>
      <x:c r="F207" s="23" t="b">
        <x:v>1</x:v>
      </x:c>
      <x:c r="G207" s="11" t="n">
        <x:v>43</x:v>
      </x:c>
      <x:c r="H207" s="11" t="n">
        <x:v>37</x:v>
      </x:c>
      <x:c r="I207" s="13" t="n">
        <x:v>0.007256159298009</x:v>
      </x:c>
      <x:c r="J207" s="13" t="n">
        <x:v>0.006514084507042</x:v>
      </x:c>
      <x:c r="K207" s="17" t="n">
        <x:v>-0.074207479096652</x:v>
      </x:c>
      <x:c r="L207" s="13" t="n">
        <x:v>0.023255813953488</x:v>
      </x:c>
      <x:c r="M207" s="13" t="n">
        <x:v>0.116279069767442</x:v>
      </x:c>
      <x:c r="N207" s="13" t="n">
        <x:v>0.372093023255814</x:v>
      </x:c>
      <x:c r="O207" s="13" t="n">
        <x:v>0.027027027027027</x:v>
      </x:c>
      <x:c r="P207" s="13" t="n">
        <x:v>0.243243243243243</x:v>
      </x:c>
      <x:c r="Q207" s="13" t="n">
        <x:v>0.675675675675676</x:v>
      </x:c>
      <x:c r="R207" s="15" t="n">
        <x:v>0.980282768800425</x:v>
      </x:c>
      <x:c r="S207" s="17" t="n">
        <x:v>148.58630335844364</x:v>
      </x:c>
      <x:c r="T207" s="17" t="n">
        <x:v>93.73907056754156</x:v>
      </x:c>
      <x:c r="U207" s="23" t="b">
        <x:v>0</x:v>
      </x:c>
    </x:row>
    <x:row r="208" ht="22" customHeight="1">
      <x:c r="A208" s="7" t="str">
        <x:v>G real</x:v>
      </x:c>
      <x:c r="B208" s="9" t="n">
        <x:v>2</x:v>
      </x:c>
      <x:c r="C208" s="7" t="str">
        <x:v>OD Mature 2</x:v>
      </x:c>
      <x:c r="D208" s="11" t="n">
        <x:v>936</x:v>
      </x:c>
      <x:c r="E208" s="22" t="n">
        <x:v>0.041802509937028</x:v>
      </x:c>
      <x:c r="F208" s="23" t="b">
        <x:v>1</x:v>
      </x:c>
      <x:c r="G208" s="11" t="n">
        <x:v>217</x:v>
      </x:c>
      <x:c r="H208" s="11" t="n">
        <x:v>221</x:v>
      </x:c>
      <x:c r="I208" s="13" t="n">
        <x:v>0.036618292271347</x:v>
      </x:c>
      <x:c r="J208" s="13" t="n">
        <x:v>0.038908450704225</x:v>
      </x:c>
      <x:c r="K208" s="17" t="n">
        <x:v>0.229015843287874</x:v>
      </x:c>
      <x:c r="L208" s="13" t="n">
        <x:v>0.28110599078341</x:v>
      </x:c>
      <x:c r="M208" s="13" t="n">
        <x:v>0.612903225806452</x:v>
      </x:c>
      <x:c r="N208" s="13" t="n">
        <x:v>0.847926267281106</x:v>
      </x:c>
      <x:c r="O208" s="13" t="n">
        <x:v>0.289592760180996</x:v>
      </x:c>
      <x:c r="P208" s="13" t="n">
        <x:v>0.619909502262444</x:v>
      </x:c>
      <x:c r="Q208" s="13" t="n">
        <x:v>0.850678733031674</x:v>
      </x:c>
      <x:c r="R208" s="15" t="n">
        <x:v>0.996525925778967</x:v>
      </x:c>
      <x:c r="S208" s="17" t="n">
        <x:v>53.8461548813055</x:v>
      </x:c>
      <x:c r="T208" s="17" t="n">
        <x:v>53.59262364843856</x:v>
      </x:c>
      <x:c r="U208" s="23" t="b">
        <x:v>0</x:v>
      </x:c>
    </x:row>
    <x:row r="209" ht="22" customHeight="1">
      <x:c r="A209" s="7" t="str">
        <x:v>G real</x:v>
      </x:c>
      <x:c r="B209" s="9" t="n">
        <x:v>2</x:v>
      </x:c>
      <x:c r="C209" s="7" t="str">
        <x:v>OD Mature 3</x:v>
      </x:c>
      <x:c r="D209" s="11" t="n">
        <x:v>12</x:v>
      </x:c>
      <x:c r="E209" s="22" t="n">
        <x:v>0.000535929614577</x:v>
      </x:c>
      <x:c r="F209" s="23" t="b">
        <x:v>1</x:v>
      </x:c>
      <x:c r="G209" s="11" t="n">
        <x:v>2</x:v>
      </x:c>
      <x:c r="H209" s="11" t="n">
        <x:v>3</x:v>
      </x:c>
      <x:c r="I209" s="13" t="n">
        <x:v>0.000337495781303</x:v>
      </x:c>
      <x:c r="J209" s="13" t="n">
        <x:v>0.000528169014085</x:v>
      </x:c>
      <x:c r="K209" s="17" t="n">
        <x:v>0.019067323278177</x:v>
      </x:c>
      <x:c r="L209" s="13" t="n">
        <x:v>0</x:v>
      </x:c>
      <x:c r="M209" s="13" t="n">
        <x:v>0</x:v>
      </x:c>
      <x:c r="N209" s="13" t="n">
        <x:v>0</x:v>
      </x:c>
      <x:c r="O209" s="13" t="n">
        <x:v>0</x:v>
      </x:c>
      <x:c r="P209" s="13" t="n">
        <x:v>0</x:v>
      </x:c>
      <x:c r="Q209" s="13" t="n">
        <x:v>0</x:v>
      </x:c>
      <x:c r="R209" s="15" t="n">
        <x:v>0.86920425448549</x:v>
      </x:c>
      <x:c r="S209" s="17" t="n">
        <x:v>649.1382825614123</x:v>
      </x:c>
      <x:c r="T209" s="17" t="n">
        <x:v>868.4318660417692</x:v>
      </x:c>
      <x:c r="U209" s="23" t="b">
        <x:v>0</x:v>
      </x:c>
    </x:row>
    <x:row r="210" ht="22" customHeight="1">
      <x:c r="A210" s="7" t="str">
        <x:v>G real</x:v>
      </x:c>
      <x:c r="B210" s="9" t="n">
        <x:v>2</x:v>
      </x:c>
      <x:c r="C210" s="7" t="str">
        <x:v>OD Mature 4</x:v>
      </x:c>
      <x:c r="D210" s="11" t="n">
        <x:v>36</x:v>
      </x:c>
      <x:c r="E210" s="22" t="n">
        <x:v>0.001607788843732</x:v>
      </x:c>
      <x:c r="F210" s="23" t="b">
        <x:v>1</x:v>
      </x:c>
      <x:c r="G210" s="11" t="n">
        <x:v>11</x:v>
      </x:c>
      <x:c r="H210" s="11" t="n">
        <x:v>10</x:v>
      </x:c>
      <x:c r="I210" s="13" t="n">
        <x:v>0.001856226797165</x:v>
      </x:c>
      <x:c r="J210" s="13" t="n">
        <x:v>0.001760563380282</x:v>
      </x:c>
      <x:c r="K210" s="17" t="n">
        <x:v>-0.009566341688334</x:v>
      </x:c>
      <x:c r="L210" s="13" t="n">
        <x:v>0</x:v>
      </x:c>
      <x:c r="M210" s="13" t="n">
        <x:v>0</x:v>
      </x:c>
      <x:c r="N210" s="13" t="n">
        <x:v>0</x:v>
      </x:c>
      <x:c r="O210" s="13" t="n">
        <x:v>0</x:v>
      </x:c>
      <x:c r="P210" s="13" t="n">
        <x:v>0</x:v>
      </x:c>
      <x:c r="Q210" s="13" t="n">
        <x:v>0</x:v>
      </x:c>
      <x:c r="R210" s="15" t="n">
        <x:v>0.857875330636826</x:v>
      </x:c>
      <x:c r="S210" s="17" t="n">
        <x:v>366.7394085589163</x:v>
      </x:c>
      <x:c r="T210" s="17" t="n">
        <x:v>371.0502628064703</x:v>
      </x:c>
      <x:c r="U210" s="23" t="b">
        <x:v>0</x:v>
      </x:c>
    </x:row>
    <x:row r="211" ht="22" customHeight="1">
      <x:c r="A211" s="7" t="str">
        <x:v>G real</x:v>
      </x:c>
      <x:c r="B211" s="9" t="n">
        <x:v>2</x:v>
      </x:c>
      <x:c r="C211" s="7" t="str">
        <x:v>Pericytes</x:v>
      </x:c>
      <x:c r="D211" s="11" t="n">
        <x:v>179</x:v>
      </x:c>
      <x:c r="E211" s="22" t="n">
        <x:v>0.007994283417444</x:v>
      </x:c>
      <x:c r="F211" s="23" t="b">
        <x:v>1</x:v>
      </x:c>
      <x:c r="G211" s="11" t="n">
        <x:v>25</x:v>
      </x:c>
      <x:c r="H211" s="11" t="n">
        <x:v>44</x:v>
      </x:c>
      <x:c r="I211" s="13" t="n">
        <x:v>0.004218697266284</x:v>
      </x:c>
      <x:c r="J211" s="13" t="n">
        <x:v>0.007746478873239</x:v>
      </x:c>
      <x:c r="K211" s="17" t="n">
        <x:v>0.352778160695526</x:v>
      </x:c>
      <x:c r="L211" s="13" t="n">
        <x:v>0</x:v>
      </x:c>
      <x:c r="M211" s="13" t="n">
        <x:v>0.28</x:v>
      </x:c>
      <x:c r="N211" s="13" t="n">
        <x:v>0.4</x:v>
      </x:c>
      <x:c r="O211" s="13" t="n">
        <x:v>0</x:v>
      </x:c>
      <x:c r="P211" s="13" t="n">
        <x:v>0.136363636363636</x:v>
      </x:c>
      <x:c r="Q211" s="13" t="n">
        <x:v>0.159090909090909</x:v>
      </x:c>
      <x:c r="R211" s="15" t="n">
        <x:v>0.972547769829805</x:v>
      </x:c>
      <x:c r="S211" s="17" t="n">
        <x:v>130.39012707422336</x:v>
      </x:c>
      <x:c r="T211" s="17" t="n">
        <x:v>226.44565347038332</x:v>
      </x:c>
      <x:c r="U211" s="23" t="b">
        <x:v>0</x:v>
      </x:c>
    </x:row>
    <x:row r="212" ht="22" customHeight="1">
      <x:c r="A212" s="7" t="str">
        <x:v>G real</x:v>
      </x:c>
      <x:c r="B212" s="9" t="n">
        <x:v>3</x:v>
      </x:c>
      <x:c r="C212" s="7" t="str">
        <x:v>Astrocyte</x:v>
      </x:c>
      <x:c r="D212" s="11" t="n">
        <x:v>2742</x:v>
      </x:c>
      <x:c r="E212" s="22" t="n">
        <x:v>0.121790885671138</x:v>
      </x:c>
      <x:c r="F212" s="23" t="b">
        <x:v>0</x:v>
      </x:c>
      <x:c r="G212" s="11" t="n">
        <x:v>664</x:v>
      </x:c>
      <x:c r="H212" s="11" t="n">
        <x:v>709</x:v>
      </x:c>
      <x:c r="I212" s="13" t="n">
        <x:v>0.114423574013441</x:v>
      </x:c>
      <x:c r="J212" s="13" t="n">
        <x:v>0.123626852659111</x:v>
      </x:c>
      <x:c r="K212" s="17" t="n">
        <x:v>0.92032786456694</x:v>
      </x:c>
      <x:c r="L212" s="13" t="n">
        <x:v>0.323795180722892</x:v>
      </x:c>
      <x:c r="M212" s="13" t="n">
        <x:v>0.798192771084337</x:v>
      </x:c>
      <x:c r="N212" s="13" t="n">
        <x:v>0.996987951807229</x:v>
      </x:c>
      <x:c r="O212" s="13" t="n">
        <x:v>0.32722143864598</x:v>
      </x:c>
      <x:c r="P212" s="13" t="n">
        <x:v>0.777150916784203</x:v>
      </x:c>
      <x:c r="Q212" s="13" t="n">
        <x:v>0.998589562764457</x:v>
      </x:c>
      <x:c r="R212" s="15" t="n">
        <x:v>0.99609162091006</x:v>
      </x:c>
      <x:c r="S212" s="17" t="n">
        <x:v>34.96492911909786</x:v>
      </x:c>
      <x:c r="T212" s="17" t="n">
        <x:v>35.33819129332163</x:v>
      </x:c>
      <x:c r="U212" s="23" t="b">
        <x:v>0</x:v>
      </x:c>
    </x:row>
    <x:row r="213" ht="22" customHeight="1">
      <x:c r="A213" s="7" t="str">
        <x:v>G real</x:v>
      </x:c>
      <x:c r="B213" s="9" t="n">
        <x:v>3</x:v>
      </x:c>
      <x:c r="C213" s="7" t="str">
        <x:v>Endothelial 1</x:v>
      </x:c>
      <x:c r="D213" s="11" t="n">
        <x:v>1176</x:v>
      </x:c>
      <x:c r="E213" s="22" t="n">
        <x:v>0.05223416540819</x:v>
      </x:c>
      <x:c r="F213" s="23" t="b">
        <x:v>0</x:v>
      </x:c>
      <x:c r="G213" s="11" t="n">
        <x:v>304</x:v>
      </x:c>
      <x:c r="H213" s="11" t="n">
        <x:v>296</x:v>
      </x:c>
      <x:c r="I213" s="13" t="n">
        <x:v>0.052386696536274</x:v>
      </x:c>
      <x:c r="J213" s="13" t="n">
        <x:v>0.051612903225806</x:v>
      </x:c>
      <x:c r="K213" s="17" t="n">
        <x:v>-0.077379331046789</x:v>
      </x:c>
      <x:c r="L213" s="13" t="n">
        <x:v>0.098684210526316</x:v>
      </x:c>
      <x:c r="M213" s="13" t="n">
        <x:v>0.421052631578947</x:v>
      </x:c>
      <x:c r="N213" s="13" t="n">
        <x:v>0.884868421052632</x:v>
      </x:c>
      <x:c r="O213" s="13" t="n">
        <x:v>0.141891891891892</x:v>
      </x:c>
      <x:c r="P213" s="13" t="n">
        <x:v>0.486486486486486</x:v>
      </x:c>
      <x:c r="Q213" s="13" t="n">
        <x:v>0.905405405405405</x:v>
      </x:c>
      <x:c r="R213" s="15" t="n">
        <x:v>0.995044427585248</x:v>
      </x:c>
      <x:c r="S213" s="17" t="n">
        <x:v>60.683283691287954</x:v>
      </x:c>
      <x:c r="T213" s="17" t="n">
        <x:v>55.02044788697261</x:v>
      </x:c>
      <x:c r="U213" s="23" t="b">
        <x:v>0</x:v>
      </x:c>
    </x:row>
    <x:row r="214" ht="22" customHeight="1">
      <x:c r="A214" s="7" t="str">
        <x:v>G real</x:v>
      </x:c>
      <x:c r="B214" s="9" t="n">
        <x:v>3</x:v>
      </x:c>
      <x:c r="C214" s="7" t="str">
        <x:v>Endothelial 2</x:v>
      </x:c>
      <x:c r="D214" s="11" t="n">
        <x:v>117</x:v>
      </x:c>
      <x:c r="E214" s="22" t="n">
        <x:v>0.005196766456427</x:v>
      </x:c>
      <x:c r="F214" s="23" t="b">
        <x:v>1</x:v>
      </x:c>
      <x:c r="G214" s="11" t="n">
        <x:v>27</x:v>
      </x:c>
      <x:c r="H214" s="11" t="n">
        <x:v>18</x:v>
      </x:c>
      <x:c r="I214" s="13" t="n">
        <x:v>0.004652765810788</x:v>
      </x:c>
      <x:c r="J214" s="13" t="n">
        <x:v>0.003138622493461</x:v>
      </x:c>
      <x:c r="K214" s="17" t="n">
        <x:v>-0.151414331732632</x:v>
      </x:c>
      <x:c r="L214" s="13" t="n">
        <x:v>0.037037037037037</x:v>
      </x:c>
      <x:c r="M214" s="13" t="n">
        <x:v>0.074074074074074</x:v>
      </x:c>
      <x:c r="N214" s="13" t="n">
        <x:v>0.222222222222222</x:v>
      </x:c>
      <x:c r="O214" s="13" t="n">
        <x:v>0.055555555555556</x:v>
      </x:c>
      <x:c r="P214" s="13" t="n">
        <x:v>0.111111111111111</x:v>
      </x:c>
      <x:c r="Q214" s="13" t="n">
        <x:v>0.333333333333333</x:v>
      </x:c>
      <x:c r="R214" s="15" t="n">
        <x:v>0.909277905876498</x:v>
      </x:c>
      <x:c r="S214" s="17" t="n">
        <x:v>273.496287041933</x:v>
      </x:c>
      <x:c r="T214" s="17" t="n">
        <x:v>172.46249242663652</x:v>
      </x:c>
      <x:c r="U214" s="23" t="b">
        <x:v>0</x:v>
      </x:c>
    </x:row>
    <x:row r="215" ht="22" customHeight="1">
      <x:c r="A215" s="7" t="str">
        <x:v>G real</x:v>
      </x:c>
      <x:c r="B215" s="9" t="n">
        <x:v>3</x:v>
      </x:c>
      <x:c r="C215" s="7" t="str">
        <x:v>Endothelial 3</x:v>
      </x:c>
      <x:c r="D215" s="11" t="n">
        <x:v>455</x:v>
      </x:c>
      <x:c r="E215" s="22" t="n">
        <x:v>0.02020964733055</x:v>
      </x:c>
      <x:c r="F215" s="23" t="b">
        <x:v>1</x:v>
      </x:c>
      <x:c r="G215" s="11" t="n">
        <x:v>94</x:v>
      </x:c>
      <x:c r="H215" s="11" t="n">
        <x:v>112</x:v>
      </x:c>
      <x:c r="I215" s="13" t="n">
        <x:v>0.016198518007927</x:v>
      </x:c>
      <x:c r="J215" s="13" t="n">
        <x:v>0.019529206625981</x:v>
      </x:c>
      <x:c r="K215" s="17" t="n">
        <x:v>0.333068861805388</x:v>
      </x:c>
      <x:c r="L215" s="13" t="n">
        <x:v>0.053191489361702</x:v>
      </x:c>
      <x:c r="M215" s="13" t="n">
        <x:v>0.191489361702128</x:v>
      </x:c>
      <x:c r="N215" s="13" t="n">
        <x:v>0.585106382978723</x:v>
      </x:c>
      <x:c r="O215" s="13" t="n">
        <x:v>0.053571428571428</x:v>
      </x:c>
      <x:c r="P215" s="13" t="n">
        <x:v>0.205357142857143</x:v>
      </x:c>
      <x:c r="Q215" s="13" t="n">
        <x:v>0.678571428571429</x:v>
      </x:c>
      <x:c r="R215" s="15" t="n">
        <x:v>0.987129486144531</x:v>
      </x:c>
      <x:c r="S215" s="17" t="n">
        <x:v>91.68221772980064</x:v>
      </x:c>
      <x:c r="T215" s="17" t="n">
        <x:v>88.3838954229813</x:v>
      </x:c>
      <x:c r="U215" s="23" t="b">
        <x:v>0</x:v>
      </x:c>
    </x:row>
    <x:row r="216" ht="22" customHeight="1">
      <x:c r="A216" s="7" t="str">
        <x:v>G real</x:v>
      </x:c>
      <x:c r="B216" s="9" t="n">
        <x:v>3</x:v>
      </x:c>
      <x:c r="C216" s="7" t="str">
        <x:v>Ependymal</x:v>
      </x:c>
      <x:c r="D216" s="11" t="n">
        <x:v>1055</x:v>
      </x:c>
      <x:c r="E216" s="22" t="n">
        <x:v>0.046859731722484</x:v>
      </x:c>
      <x:c r="F216" s="23" t="b">
        <x:v>1</x:v>
      </x:c>
      <x:c r="G216" s="11" t="n">
        <x:v>232</x:v>
      </x:c>
      <x:c r="H216" s="11" t="n">
        <x:v>246</x:v>
      </x:c>
      <x:c r="I216" s="13" t="n">
        <x:v>0.039979321040841</x:v>
      </x:c>
      <x:c r="J216" s="13" t="n">
        <x:v>0.042894507410636</x:v>
      </x:c>
      <x:c r="K216" s="17" t="n">
        <x:v>0.291518636979549</x:v>
      </x:c>
      <x:c r="L216" s="13" t="n">
        <x:v>0.896551724137931</x:v>
      </x:c>
      <x:c r="M216" s="13" t="n">
        <x:v>0.987068965517241</x:v>
      </x:c>
      <x:c r="N216" s="13" t="n">
        <x:v>1</x:v>
      </x:c>
      <x:c r="O216" s="13" t="n">
        <x:v>0.780487804878049</x:v>
      </x:c>
      <x:c r="P216" s="13" t="n">
        <x:v>0.914634146341464</x:v>
      </x:c>
      <x:c r="Q216" s="13" t="n">
        <x:v>1</x:v>
      </x:c>
      <x:c r="R216" s="15" t="n">
        <x:v>0.994382984167918</x:v>
      </x:c>
      <x:c r="S216" s="17" t="n">
        <x:v>14.00965764672382</x:v>
      </x:c>
      <x:c r="T216" s="17" t="n">
        <x:v>18.47798250054353</x:v>
      </x:c>
      <x:c r="U216" s="23" t="b">
        <x:v>0</x:v>
      </x:c>
    </x:row>
    <x:row r="217" ht="22" customHeight="1">
      <x:c r="A217" s="7" t="str">
        <x:v>G real</x:v>
      </x:c>
      <x:c r="B217" s="9" t="n">
        <x:v>3</x:v>
      </x:c>
      <x:c r="C217" s="7" t="str">
        <x:v>Excitatory</x:v>
      </x:c>
      <x:c r="D217" s="11" t="n">
        <x:v>4593</x:v>
      </x:c>
      <x:c r="E217" s="22" t="n">
        <x:v>0.204006396020254</x:v>
      </x:c>
      <x:c r="F217" s="23" t="b">
        <x:v>0</x:v>
      </x:c>
      <x:c r="G217" s="11" t="n">
        <x:v>1194</x:v>
      </x:c>
      <x:c r="H217" s="11" t="n">
        <x:v>1217</x:v>
      </x:c>
      <x:c r="I217" s="13" t="n">
        <x:v>0.205755643632604</x:v>
      </x:c>
      <x:c r="J217" s="13" t="n">
        <x:v>0.212205754141238</x:v>
      </x:c>
      <x:c r="K217" s="17" t="n">
        <x:v>0.64501105086342</x:v>
      </x:c>
      <x:c r="L217" s="13" t="n">
        <x:v>0.54857621440536</x:v>
      </x:c>
      <x:c r="M217" s="13" t="n">
        <x:v>0.908710217755444</x:v>
      </x:c>
      <x:c r="N217" s="13" t="n">
        <x:v>1</x:v>
      </x:c>
      <x:c r="O217" s="13" t="n">
        <x:v>0.583401807723911</x:v>
      </x:c>
      <x:c r="P217" s="13" t="n">
        <x:v>0.912078882497946</x:v>
      </x:c>
      <x:c r="Q217" s="13" t="n">
        <x:v>1</x:v>
      </x:c>
      <x:c r="R217" s="15" t="n">
        <x:v>0.994202771911958</x:v>
      </x:c>
      <x:c r="S217" s="17" t="n">
        <x:v>26.514925340158868</x:v>
      </x:c>
      <x:c r="T217" s="17" t="n">
        <x:v>25.630610301785868</x:v>
      </x:c>
      <x:c r="U217" s="23" t="b">
        <x:v>0</x:v>
      </x:c>
    </x:row>
    <x:row r="218" ht="22" customHeight="1">
      <x:c r="A218" s="7" t="str">
        <x:v>G real</x:v>
      </x:c>
      <x:c r="B218" s="9" t="n">
        <x:v>3</x:v>
      </x:c>
      <x:c r="C218" s="7" t="str">
        <x:v>Inhibitory</x:v>
      </x:c>
      <x:c r="D218" s="11" t="n">
        <x:v>9762</x:v>
      </x:c>
      <x:c r="E218" s="22" t="n">
        <x:v>0.433596873056765</x:v>
      </x:c>
      <x:c r="F218" s="23" t="b">
        <x:v>0</x:v>
      </x:c>
      <x:c r="G218" s="11" t="n">
        <x:v>2607</x:v>
      </x:c>
      <x:c r="H218" s="11" t="n">
        <x:v>2469</x:v>
      </x:c>
      <x:c r="I218" s="13" t="n">
        <x:v>0.449250387730484</x:v>
      </x:c>
      <x:c r="J218" s="13" t="n">
        <x:v>0.430514385353095</x:v>
      </x:c>
      <x:c r="K218" s="17" t="n">
        <x:v>-1.87360023773892</x:v>
      </x:c>
      <x:c r="L218" s="13" t="n">
        <x:v>0.769850402761795</x:v>
      </x:c>
      <x:c r="M218" s="13" t="n">
        <x:v>0.985807441503644</x:v>
      </x:c>
      <x:c r="N218" s="13" t="n">
        <x:v>0.998849252013809</x:v>
      </x:c>
      <x:c r="O218" s="13" t="n">
        <x:v>0.833940866747671</x:v>
      </x:c>
      <x:c r="P218" s="13" t="n">
        <x:v>0.974483596597813</x:v>
      </x:c>
      <x:c r="Q218" s="13" t="n">
        <x:v>0.995544754961523</x:v>
      </x:c>
      <x:c r="R218" s="15" t="n">
        <x:v>0.99512986623771</x:v>
      </x:c>
      <x:c r="S218" s="17" t="n">
        <x:v>18.30573878449987</x:v>
      </x:c>
      <x:c r="T218" s="17" t="n">
        <x:v>16.95552748090208</x:v>
      </x:c>
      <x:c r="U218" s="23" t="b">
        <x:v>0</x:v>
      </x:c>
    </x:row>
    <x:row r="219" ht="22" customHeight="1">
      <x:c r="A219" s="7" t="str">
        <x:v>G real</x:v>
      </x:c>
      <x:c r="B219" s="9" t="n">
        <x:v>3</x:v>
      </x:c>
      <x:c r="C219" s="7" t="str">
        <x:v>Microglia</x:v>
      </x:c>
      <x:c r="D219" s="11" t="n">
        <x:v>473</x:v>
      </x:c>
      <x:c r="E219" s="22" t="n">
        <x:v>0.021009149862308</x:v>
      </x:c>
      <x:c r="F219" s="23" t="b">
        <x:v>1</x:v>
      </x:c>
      <x:c r="G219" s="11" t="n">
        <x:v>121</x:v>
      </x:c>
      <x:c r="H219" s="11" t="n">
        <x:v>122</x:v>
      </x:c>
      <x:c r="I219" s="13" t="n">
        <x:v>0.020851283818714</x:v>
      </x:c>
      <x:c r="J219" s="13" t="n">
        <x:v>0.021272885789015</x:v>
      </x:c>
      <x:c r="K219" s="17" t="n">
        <x:v>0.042160197030036</x:v>
      </x:c>
      <x:c r="L219" s="13" t="n">
        <x:v>0.041322314049587</x:v>
      </x:c>
      <x:c r="M219" s="13" t="n">
        <x:v>0.148760330578512</x:v>
      </x:c>
      <x:c r="N219" s="13" t="n">
        <x:v>0.586776859504132</x:v>
      </x:c>
      <x:c r="O219" s="13" t="n">
        <x:v>0.049180327868852</x:v>
      </x:c>
      <x:c r="P219" s="13" t="n">
        <x:v>0.204918032786885</x:v>
      </x:c>
      <x:c r="Q219" s="13" t="n">
        <x:v>0.745901639344262</x:v>
      </x:c>
      <x:c r="R219" s="15" t="n">
        <x:v>0.986020470736551</x:v>
      </x:c>
      <x:c r="S219" s="17" t="n">
        <x:v>97.4404667149904</x:v>
      </x:c>
      <x:c r="T219" s="17" t="n">
        <x:v>81.86609257934475</x:v>
      </x:c>
      <x:c r="U219" s="23" t="b">
        <x:v>0</x:v>
      </x:c>
    </x:row>
    <x:row r="220" ht="22" customHeight="1">
      <x:c r="A220" s="7" t="str">
        <x:v>G real</x:v>
      </x:c>
      <x:c r="B220" s="9" t="n">
        <x:v>3</x:v>
      </x:c>
      <x:c r="C220" s="7" t="str">
        <x:v>OD Immature 1</x:v>
      </x:c>
      <x:c r="D220" s="11" t="n">
        <x:v>814</x:v>
      </x:c>
      <x:c r="E220" s="22" t="n">
        <x:v>0.03615528115839</x:v>
      </x:c>
      <x:c r="F220" s="23" t="b">
        <x:v>1</x:v>
      </x:c>
      <x:c r="G220" s="11" t="n">
        <x:v>198</x:v>
      </x:c>
      <x:c r="H220" s="11" t="n">
        <x:v>206</x:v>
      </x:c>
      <x:c r="I220" s="13" t="n">
        <x:v>0.034120282612442</x:v>
      </x:c>
      <x:c r="J220" s="13" t="n">
        <x:v>0.0359197907585</x:v>
      </x:c>
      <x:c r="K220" s="17" t="n">
        <x:v>0.179950814605859</x:v>
      </x:c>
      <x:c r="L220" s="13" t="n">
        <x:v>0.101010101010101</x:v>
      </x:c>
      <x:c r="M220" s="13" t="n">
        <x:v>0.368686868686869</x:v>
      </x:c>
      <x:c r="N220" s="13" t="n">
        <x:v>0.833333333333333</x:v>
      </x:c>
      <x:c r="O220" s="13" t="n">
        <x:v>0.101941747572816</x:v>
      </x:c>
      <x:c r="P220" s="13" t="n">
        <x:v>0.37378640776699</x:v>
      </x:c>
      <x:c r="Q220" s="13" t="n">
        <x:v>0.893203883495146</x:v>
      </x:c>
      <x:c r="R220" s="15" t="n">
        <x:v>0.992637007536931</x:v>
      </x:c>
      <x:c r="S220" s="17" t="n">
        <x:v>64.56411484612683</x:v>
      </x:c>
      <x:c r="T220" s="17" t="n">
        <x:v>62.16808613031865</x:v>
      </x:c>
      <x:c r="U220" s="23" t="b">
        <x:v>0</x:v>
      </x:c>
    </x:row>
    <x:row r="221" ht="22" customHeight="1">
      <x:c r="A221" s="7" t="str">
        <x:v>G real</x:v>
      </x:c>
      <x:c r="B221" s="9" t="n">
        <x:v>3</x:v>
      </x:c>
      <x:c r="C221" s="7" t="str">
        <x:v>OD Immature 2</x:v>
      </x:c>
      <x:c r="D221" s="11" t="n">
        <x:v>26</x:v>
      </x:c>
      <x:c r="E221" s="22" t="n">
        <x:v>0.001154836990317</x:v>
      </x:c>
      <x:c r="F221" s="23" t="b">
        <x:v>1</x:v>
      </x:c>
      <x:c r="G221" s="11" t="n">
        <x:v>7</x:v>
      </x:c>
      <x:c r="H221" s="11" t="n">
        <x:v>6</x:v>
      </x:c>
      <x:c r="I221" s="13" t="n">
        <x:v>0.001206272617612</x:v>
      </x:c>
      <x:c r="J221" s="13" t="n">
        <x:v>0.00104620749782</x:v>
      </x:c>
      <x:c r="K221" s="17" t="n">
        <x:v>-0.016006511979118</x:v>
      </x:c>
      <x:c r="L221" s="13" t="n">
        <x:v>0</x:v>
      </x:c>
      <x:c r="M221" s="13" t="n">
        <x:v>0</x:v>
      </x:c>
      <x:c r="N221" s="13" t="n">
        <x:v>0</x:v>
      </x:c>
      <x:c r="O221" s="13" t="n">
        <x:v>0</x:v>
      </x:c>
      <x:c r="P221" s="13" t="n">
        <x:v>0</x:v>
      </x:c>
      <x:c r="Q221" s="13" t="n">
        <x:v>0</x:v>
      </x:c>
      <x:c r="R221" s="15" t="n">
        <x:v>0.738192317660774</x:v>
      </x:c>
      <x:c r="S221" s="17" t="n">
        <x:v>356.77271047251395</x:v>
      </x:c>
      <x:c r="T221" s="17" t="n">
        <x:v>318.94464638514927</x:v>
      </x:c>
      <x:c r="U221" s="23" t="b">
        <x:v>0</x:v>
      </x:c>
    </x:row>
    <x:row r="222" ht="22" customHeight="1">
      <x:c r="A222" s="7" t="str">
        <x:v>G real</x:v>
      </x:c>
      <x:c r="B222" s="9" t="n">
        <x:v>3</x:v>
      </x:c>
      <x:c r="C222" s="7" t="str">
        <x:v>OD Mature 1</x:v>
      </x:c>
      <x:c r="D222" s="11" t="n">
        <x:v>192</x:v>
      </x:c>
      <x:c r="E222" s="22" t="n">
        <x:v>0.008528027005419</x:v>
      </x:c>
      <x:c r="F222" s="23" t="b">
        <x:v>1</x:v>
      </x:c>
      <x:c r="G222" s="11" t="n">
        <x:v>46</x:v>
      </x:c>
      <x:c r="H222" s="11" t="n">
        <x:v>46</x:v>
      </x:c>
      <x:c r="I222" s="13" t="n">
        <x:v>0.007926934344305</x:v>
      </x:c>
      <x:c r="J222" s="13" t="n">
        <x:v>0.008020924149956</x:v>
      </x:c>
      <x:c r="K222" s="17" t="n">
        <x:v>0.009398980565174</x:v>
      </x:c>
      <x:c r="L222" s="13" t="n">
        <x:v>0.043478260869565</x:v>
      </x:c>
      <x:c r="M222" s="13" t="n">
        <x:v>0.282608695652174</x:v>
      </x:c>
      <x:c r="N222" s="13" t="n">
        <x:v>0.58695652173913</x:v>
      </x:c>
      <x:c r="O222" s="13" t="n">
        <x:v>0.065217391304348</x:v>
      </x:c>
      <x:c r="P222" s="13" t="n">
        <x:v>0.282608695652174</x:v>
      </x:c>
      <x:c r="Q222" s="13" t="n">
        <x:v>0.565217391304348</x:v>
      </x:c>
      <x:c r="R222" s="15" t="n">
        <x:v>0.990371474742403</x:v>
      </x:c>
      <x:c r="S222" s="17" t="n">
        <x:v>102.76007305221682</x:v>
      </x:c>
      <x:c r="T222" s="17" t="n">
        <x:v>111.31407241019971</x:v>
      </x:c>
      <x:c r="U222" s="23" t="b">
        <x:v>0</x:v>
      </x:c>
    </x:row>
    <x:row r="223" ht="22" customHeight="1">
      <x:c r="A223" s="7" t="str">
        <x:v>G real</x:v>
      </x:c>
      <x:c r="B223" s="9" t="n">
        <x:v>3</x:v>
      </x:c>
      <x:c r="C223" s="7" t="str">
        <x:v>OD Mature 2</x:v>
      </x:c>
      <x:c r="D223" s="11" t="n">
        <x:v>907</x:v>
      </x:c>
      <x:c r="E223" s="22" t="n">
        <x:v>0.04028604423914</x:v>
      </x:c>
      <x:c r="F223" s="23" t="b">
        <x:v>1</x:v>
      </x:c>
      <x:c r="G223" s="11" t="n">
        <x:v>246</x:v>
      </x:c>
      <x:c r="H223" s="11" t="n">
        <x:v>230</x:v>
      </x:c>
      <x:c r="I223" s="13" t="n">
        <x:v>0.042391866276064</x:v>
      </x:c>
      <x:c r="J223" s="13" t="n">
        <x:v>0.040104620749782</x:v>
      </x:c>
      <x:c r="K223" s="17" t="n">
        <x:v>-0.228724552628206</x:v>
      </x:c>
      <x:c r="L223" s="13" t="n">
        <x:v>0.313008130081301</x:v>
      </x:c>
      <x:c r="M223" s="13" t="n">
        <x:v>0.613821138211382</x:v>
      </x:c>
      <x:c r="N223" s="13" t="n">
        <x:v>0.83739837398374</x:v>
      </x:c>
      <x:c r="O223" s="13" t="n">
        <x:v>0.339130434782609</x:v>
      </x:c>
      <x:c r="P223" s="13" t="n">
        <x:v>0.639130434782609</x:v>
      </x:c>
      <x:c r="Q223" s="13" t="n">
        <x:v>0.943478260869565</x:v>
      </x:c>
      <x:c r="R223" s="15" t="n">
        <x:v>0.997390480110023</x:v>
      </x:c>
      <x:c r="S223" s="17" t="n">
        <x:v>56.94745099935501</x:v>
      </x:c>
      <x:c r="T223" s="17" t="n">
        <x:v>46.353179853431485</x:v>
      </x:c>
      <x:c r="U223" s="23" t="b">
        <x:v>0</x:v>
      </x:c>
    </x:row>
    <x:row r="224" ht="22" customHeight="1">
      <x:c r="A224" s="7" t="str">
        <x:v>G real</x:v>
      </x:c>
      <x:c r="B224" s="9" t="n">
        <x:v>3</x:v>
      </x:c>
      <x:c r="C224" s="7" t="str">
        <x:v>OD Mature 3</x:v>
      </x:c>
      <x:c r="D224" s="11" t="n">
        <x:v>11</x:v>
      </x:c>
      <x:c r="E224" s="22" t="n">
        <x:v>0.000488584880519</x:v>
      </x:c>
      <x:c r="F224" s="23" t="b">
        <x:v>1</x:v>
      </x:c>
      <x:c r="G224" s="11" t="n">
        <x:v>3</x:v>
      </x:c>
      <x:c r="H224" s="11" t="n">
        <x:v>4</x:v>
      </x:c>
      <x:c r="I224" s="13" t="n">
        <x:v>0.000516973978976</x:v>
      </x:c>
      <x:c r="J224" s="13" t="n">
        <x:v>0.000697471665214</x:v>
      </x:c>
      <x:c r="K224" s="17" t="n">
        <x:v>0.018049768623721</x:v>
      </x:c>
      <x:c r="L224" s="13" t="n">
        <x:v>0</x:v>
      </x:c>
      <x:c r="M224" s="13" t="n">
        <x:v>0</x:v>
      </x:c>
      <x:c r="N224" s="13" t="n">
        <x:v>0</x:v>
      </x:c>
      <x:c r="O224" s="13" t="n">
        <x:v>0</x:v>
      </x:c>
      <x:c r="P224" s="13" t="n">
        <x:v>0</x:v>
      </x:c>
      <x:c r="Q224" s="13" t="n">
        <x:v>0</x:v>
      </x:c>
      <x:c r="R224" s="15" t="n">
        <x:v>0.866545303248217</x:v>
      </x:c>
      <x:c r="S224" s="17" t="n">
        <x:v>675.0092507177918</x:v>
      </x:c>
      <x:c r="T224" s="17" t="n">
        <x:v>594.026150988517</x:v>
      </x:c>
      <x:c r="U224" s="23" t="b">
        <x:v>0</x:v>
      </x:c>
    </x:row>
    <x:row r="225" ht="22" customHeight="1">
      <x:c r="A225" s="7" t="str">
        <x:v>G real</x:v>
      </x:c>
      <x:c r="B225" s="9" t="n">
        <x:v>3</x:v>
      </x:c>
      <x:c r="C225" s="7" t="str">
        <x:v>OD Mature 4</x:v>
      </x:c>
      <x:c r="D225" s="11" t="n">
        <x:v>39</x:v>
      </x:c>
      <x:c r="E225" s="22" t="n">
        <x:v>0.001732255485476</x:v>
      </x:c>
      <x:c r="F225" s="23" t="b">
        <x:v>1</x:v>
      </x:c>
      <x:c r="G225" s="11" t="n">
        <x:v>8</x:v>
      </x:c>
      <x:c r="H225" s="11" t="n">
        <x:v>10</x:v>
      </x:c>
      <x:c r="I225" s="13" t="n">
        <x:v>0.00137859727727</x:v>
      </x:c>
      <x:c r="J225" s="13" t="n">
        <x:v>0.001743679163034</x:v>
      </x:c>
      <x:c r="K225" s="17" t="n">
        <x:v>0.036508188576362</x:v>
      </x:c>
      <x:c r="L225" s="13" t="n">
        <x:v>0.125</x:v>
      </x:c>
      <x:c r="M225" s="13" t="n">
        <x:v>0.25</x:v>
      </x:c>
      <x:c r="N225" s="13" t="n">
        <x:v>0.625</x:v>
      </x:c>
      <x:c r="O225" s="13" t="n">
        <x:v>0.1</x:v>
      </x:c>
      <x:c r="P225" s="13" t="n">
        <x:v>0.3</x:v>
      </x:c>
      <x:c r="Q225" s="13" t="n">
        <x:v>0.3</x:v>
      </x:c>
      <x:c r="R225" s="15" t="n">
        <x:v>0.964107893530213</x:v>
      </x:c>
      <x:c r="S225" s="17" t="n">
        <x:v>504.7627805459858</x:v>
      </x:c>
      <x:c r="T225" s="17" t="n">
        <x:v>361.9266335073957</x:v>
      </x:c>
      <x:c r="U225" s="23" t="b">
        <x:v>0</x:v>
      </x:c>
    </x:row>
    <x:row r="226" ht="22" customHeight="1">
      <x:c r="A226" s="7" t="str">
        <x:v>G real</x:v>
      </x:c>
      <x:c r="B226" s="9" t="n">
        <x:v>3</x:v>
      </x:c>
      <x:c r="C226" s="7" t="str">
        <x:v>Pericytes</x:v>
      </x:c>
      <x:c r="D226" s="11" t="n">
        <x:v>152</x:v>
      </x:c>
      <x:c r="E226" s="22" t="n">
        <x:v>0.006751354712623</x:v>
      </x:c>
      <x:c r="F226" s="23" t="b">
        <x:v>1</x:v>
      </x:c>
      <x:c r="G226" s="11" t="n">
        <x:v>52</x:v>
      </x:c>
      <x:c r="H226" s="11" t="n">
        <x:v>44</x:v>
      </x:c>
      <x:c r="I226" s="13" t="n">
        <x:v>0.008960882302257</x:v>
      </x:c>
      <x:c r="J226" s="13" t="n">
        <x:v>0.00767218831735</x:v>
      </x:c>
      <x:c r="K226" s="17" t="n">
        <x:v>-0.128869398490784</x:v>
      </x:c>
      <x:c r="L226" s="13" t="n">
        <x:v>0.153846153846154</x:v>
      </x:c>
      <x:c r="M226" s="13" t="n">
        <x:v>0.346153846153846</x:v>
      </x:c>
      <x:c r="N226" s="13" t="n">
        <x:v>0.75</x:v>
      </x:c>
      <x:c r="O226" s="13" t="n">
        <x:v>0.113636363636364</x:v>
      </x:c>
      <x:c r="P226" s="13" t="n">
        <x:v>0.204545454545454</x:v>
      </x:c>
      <x:c r="Q226" s="13" t="n">
        <x:v>0.431818181818182</x:v>
      </x:c>
      <x:c r="R226" s="15" t="n">
        <x:v>0.949642462841009</x:v>
      </x:c>
      <x:c r="S226" s="17" t="n">
        <x:v>118.00474594983442</x:v>
      </x:c>
      <x:c r="T226" s="17" t="n">
        <x:v>150.42270512591688</x:v>
      </x:c>
      <x:c r="U226" s="23" t="b">
        <x:v>0</x:v>
      </x:c>
    </x:row>
    <x:row r="227" ht="22" customHeight="1">
      <x:c r="A227" s="7" t="str">
        <x:v>G zero</x:v>
      </x:c>
      <x:c r="B227" s="9" t="n">
        <x:v>1</x:v>
      </x:c>
      <x:c r="C227" s="7" t="str">
        <x:v>Astrocyte</x:v>
      </x:c>
      <x:c r="D227" s="11" t="n">
        <x:v>2772</x:v>
      </x:c>
      <x:c r="E227" s="22" t="n">
        <x:v>0.121792618629174</x:v>
      </x:c>
      <x:c r="F227" s="23" t="b">
        <x:v>0</x:v>
      </x:c>
      <x:c r="G227" s="11" t="n">
        <x:v>634</x:v>
      </x:c>
      <x:c r="H227" s="11" t="n">
        <x:v>683</x:v>
      </x:c>
      <x:c r="I227" s="13" t="n">
        <x:v>0.114090336512507</x:v>
      </x:c>
      <x:c r="J227" s="13" t="n">
        <x:v>0.11967758892588</x:v>
      </x:c>
      <x:c r="K227" s="17" t="n">
        <x:v>0.558725241337375</x:v>
      </x:c>
      <x:c r="L227" s="13" t="n">
        <x:v>0.288643533123028</x:v>
      </x:c>
      <x:c r="M227" s="13" t="n">
        <x:v>0.742902208201893</x:v>
      </x:c>
      <x:c r="N227" s="13" t="n">
        <x:v>0.995268138801262</x:v>
      </x:c>
      <x:c r="O227" s="13" t="n">
        <x:v>0.317715959004392</x:v>
      </x:c>
      <x:c r="P227" s="13" t="n">
        <x:v>0.787701317715959</x:v>
      </x:c>
      <x:c r="Q227" s="13" t="n">
        <x:v>0.998535871156662</x:v>
      </x:c>
      <x:c r="R227" s="15" t="n">
        <x:v>0.99727487075527</x:v>
      </x:c>
      <x:c r="S227" s="17" t="n">
        <x:v>38.39247817336488</x:v>
      </x:c>
      <x:c r="T227" s="17" t="n">
        <x:v>35.82820404944608</x:v>
      </x:c>
      <x:c r="U227" s="23" t="b">
        <x:v>0</x:v>
      </x:c>
    </x:row>
    <x:row r="228" ht="22" customHeight="1">
      <x:c r="A228" s="7" t="str">
        <x:v>G zero</x:v>
      </x:c>
      <x:c r="B228" s="9" t="n">
        <x:v>1</x:v>
      </x:c>
      <x:c r="C228" s="7" t="str">
        <x:v>Endothelial 1</x:v>
      </x:c>
      <x:c r="D228" s="11" t="n">
        <x:v>1209</x:v>
      </x:c>
      <x:c r="E228" s="22" t="n">
        <x:v>0.053119507908612</x:v>
      </x:c>
      <x:c r="F228" s="23" t="b">
        <x:v>0</x:v>
      </x:c>
      <x:c r="G228" s="11" t="n">
        <x:v>271</x:v>
      </x:c>
      <x:c r="H228" s="11" t="n">
        <x:v>303</x:v>
      </x:c>
      <x:c r="I228" s="13" t="n">
        <x:v>0.048767320496671</x:v>
      </x:c>
      <x:c r="J228" s="13" t="n">
        <x:v>0.053092693183809</x:v>
      </x:c>
      <x:c r="K228" s="17" t="n">
        <x:v>0.432537268713849</x:v>
      </x:c>
      <x:c r="L228" s="13" t="n">
        <x:v>0.121771217712177</x:v>
      </x:c>
      <x:c r="M228" s="13" t="n">
        <x:v>0.431734317343173</x:v>
      </x:c>
      <x:c r="N228" s="13" t="n">
        <x:v>0.892988929889299</x:v>
      </x:c>
      <x:c r="O228" s="13" t="n">
        <x:v>0.141914191419142</x:v>
      </x:c>
      <x:c r="P228" s="13" t="n">
        <x:v>0.452145214521452</x:v>
      </x:c>
      <x:c r="Q228" s="13" t="n">
        <x:v>0.874587458745875</x:v>
      </x:c>
      <x:c r="R228" s="15" t="n">
        <x:v>0.996355979223706</x:v>
      </x:c>
      <x:c r="S228" s="17" t="n">
        <x:v>59.76846538627439</x:v>
      </x:c>
      <x:c r="T228" s="17" t="n">
        <x:v>58.9223814030484</x:v>
      </x:c>
      <x:c r="U228" s="23" t="b">
        <x:v>0</x:v>
      </x:c>
    </x:row>
    <x:row r="229" ht="22" customHeight="1">
      <x:c r="A229" s="7" t="str">
        <x:v>G zero</x:v>
      </x:c>
      <x:c r="B229" s="9" t="n">
        <x:v>1</x:v>
      </x:c>
      <x:c r="C229" s="7" t="str">
        <x:v>Endothelial 2</x:v>
      </x:c>
      <x:c r="D229" s="11" t="n">
        <x:v>103</x:v>
      </x:c>
      <x:c r="E229" s="22" t="n">
        <x:v>0.004525483304042</x:v>
      </x:c>
      <x:c r="F229" s="23" t="b">
        <x:v>1</x:v>
      </x:c>
      <x:c r="G229" s="11" t="n">
        <x:v>41</x:v>
      </x:c>
      <x:c r="H229" s="11" t="n">
        <x:v>29</x:v>
      </x:c>
      <x:c r="I229" s="13" t="n">
        <x:v>0.007378081698758</x:v>
      </x:c>
      <x:c r="J229" s="13" t="n">
        <x:v>0.005081478885579</x:v>
      </x:c>
      <x:c r="K229" s="17" t="n">
        <x:v>-0.229660281317921</x:v>
      </x:c>
      <x:c r="L229" s="13" t="n">
        <x:v>0.170731707317073</x:v>
      </x:c>
      <x:c r="M229" s="13" t="n">
        <x:v>0.268292682926829</x:v>
      </x:c>
      <x:c r="N229" s="13" t="n">
        <x:v>0.414634146341463</x:v>
      </x:c>
      <x:c r="O229" s="13" t="n">
        <x:v>0.241379310344828</x:v>
      </x:c>
      <x:c r="P229" s="13" t="n">
        <x:v>0.482758620689655</x:v>
      </x:c>
      <x:c r="Q229" s="13" t="n">
        <x:v>0.793103448275862</x:v>
      </x:c>
      <x:c r="R229" s="15" t="n">
        <x:v>0.91256088097929</x:v>
      </x:c>
      <x:c r="S229" s="17" t="n">
        <x:v>193.7743812629399</x:v>
      </x:c>
      <x:c r="T229" s="17" t="n">
        <x:v>80.10175116393307</x:v>
      </x:c>
      <x:c r="U229" s="23" t="b">
        <x:v>0</x:v>
      </x:c>
    </x:row>
    <x:row r="230" ht="22" customHeight="1">
      <x:c r="A230" s="7" t="str">
        <x:v>G zero</x:v>
      </x:c>
      <x:c r="B230" s="9" t="n">
        <x:v>1</x:v>
      </x:c>
      <x:c r="C230" s="7" t="str">
        <x:v>Endothelial 3</x:v>
      </x:c>
      <x:c r="D230" s="11" t="n">
        <x:v>433</x:v>
      </x:c>
      <x:c r="E230" s="22" t="n">
        <x:v>0.01902460456942</x:v>
      </x:c>
      <x:c r="F230" s="23" t="b">
        <x:v>1</x:v>
      </x:c>
      <x:c r="G230" s="11" t="n">
        <x:v>116</x:v>
      </x:c>
      <x:c r="H230" s="11" t="n">
        <x:v>111</x:v>
      </x:c>
      <x:c r="I230" s="13" t="n">
        <x:v>0.020874572611121</x:v>
      </x:c>
      <x:c r="J230" s="13" t="n">
        <x:v>0.019449798493079</x:v>
      </x:c>
      <x:c r="K230" s="17" t="n">
        <x:v>-0.142477411804243</x:v>
      </x:c>
      <x:c r="L230" s="13" t="n">
        <x:v>0.051724137931034</x:v>
      </x:c>
      <x:c r="M230" s="13" t="n">
        <x:v>0.21551724137931</x:v>
      </x:c>
      <x:c r="N230" s="13" t="n">
        <x:v>0.568965517241379</x:v>
      </x:c>
      <x:c r="O230" s="13" t="n">
        <x:v>0.063063063063063</x:v>
      </x:c>
      <x:c r="P230" s="13" t="n">
        <x:v>0.252252252252252</x:v>
      </x:c>
      <x:c r="Q230" s="13" t="n">
        <x:v>0.666666666666667</x:v>
      </x:c>
      <x:c r="R230" s="15" t="n">
        <x:v>0.989554439339922</x:v>
      </x:c>
      <x:c r="S230" s="17" t="n">
        <x:v>95.52298396637732</x:v>
      </x:c>
      <x:c r="T230" s="17" t="n">
        <x:v>80.17098583348067</x:v>
      </x:c>
      <x:c r="U230" s="23" t="b">
        <x:v>0</x:v>
      </x:c>
    </x:row>
    <x:row r="231" ht="22" customHeight="1">
      <x:c r="A231" s="7" t="str">
        <x:v>G zero</x:v>
      </x:c>
      <x:c r="B231" s="9" t="n">
        <x:v>1</x:v>
      </x:c>
      <x:c r="C231" s="7" t="str">
        <x:v>Ependymal</x:v>
      </x:c>
      <x:c r="D231" s="11" t="n">
        <x:v>982</x:v>
      </x:c>
      <x:c r="E231" s="22" t="n">
        <x:v>0.043145869947276</x:v>
      </x:c>
      <x:c r="F231" s="23" t="b">
        <x:v>1</x:v>
      </x:c>
      <x:c r="G231" s="11" t="n">
        <x:v>305</x:v>
      </x:c>
      <x:c r="H231" s="11" t="n">
        <x:v>266</x:v>
      </x:c>
      <x:c r="I231" s="13" t="n">
        <x:v>0.054885729710275</x:v>
      </x:c>
      <x:c r="J231" s="13" t="n">
        <x:v>0.04660942701945</x:v>
      </x:c>
      <x:c r="K231" s="17" t="n">
        <x:v>-0.827630269082553</x:v>
      </x:c>
      <x:c r="L231" s="13" t="n">
        <x:v>0.754098360655738</x:v>
      </x:c>
      <x:c r="M231" s="13" t="n">
        <x:v>0.99016393442623</x:v>
      </x:c>
      <x:c r="N231" s="13" t="n">
        <x:v>1</x:v>
      </x:c>
      <x:c r="O231" s="13" t="n">
        <x:v>0.81203007518797</x:v>
      </x:c>
      <x:c r="P231" s="13" t="n">
        <x:v>0.973684210526316</x:v>
      </x:c>
      <x:c r="Q231" s="13" t="n">
        <x:v>0.996240601503759</x:v>
      </x:c>
      <x:c r="R231" s="15" t="n">
        <x:v>0.996329625745964</x:v>
      </x:c>
      <x:c r="S231" s="17" t="n">
        <x:v>18.26443266353228</x:v>
      </x:c>
      <x:c r="T231" s="17" t="n">
        <x:v>17.32642448470085</x:v>
      </x:c>
      <x:c r="U231" s="23" t="b">
        <x:v>0</x:v>
      </x:c>
    </x:row>
    <x:row r="232" ht="22" customHeight="1">
      <x:c r="A232" s="7" t="str">
        <x:v>G zero</x:v>
      </x:c>
      <x:c r="B232" s="9" t="n">
        <x:v>1</x:v>
      </x:c>
      <x:c r="C232" s="7" t="str">
        <x:v>Excitatory</x:v>
      </x:c>
      <x:c r="D232" s="11" t="n">
        <x:v>4700</x:v>
      </x:c>
      <x:c r="E232" s="22" t="n">
        <x:v>0.206502636203866</x:v>
      </x:c>
      <x:c r="F232" s="23" t="b">
        <x:v>0</x:v>
      </x:c>
      <x:c r="G232" s="11" t="n">
        <x:v>1087</x:v>
      </x:c>
      <x:c r="H232" s="11" t="n">
        <x:v>1142</x:v>
      </x:c>
      <x:c r="I232" s="13" t="n">
        <x:v>0.195609141623178</x:v>
      </x:c>
      <x:c r="J232" s="13" t="n">
        <x:v>0.200105134045908</x:v>
      </x:c>
      <x:c r="K232" s="17" t="n">
        <x:v>0.449599242273058</x:v>
      </x:c>
      <x:c r="L232" s="13" t="n">
        <x:v>0.544618215271389</x:v>
      </x:c>
      <x:c r="M232" s="13" t="n">
        <x:v>0.910763569457222</x:v>
      </x:c>
      <x:c r="N232" s="13" t="n">
        <x:v>0.994480220791168</x:v>
      </x:c>
      <x:c r="O232" s="13" t="n">
        <x:v>0.542907180385289</x:v>
      </x:c>
      <x:c r="P232" s="13" t="n">
        <x:v>0.896672504378284</x:v>
      </x:c>
      <x:c r="Q232" s="13" t="n">
        <x:v>0.986865148861646</x:v>
      </x:c>
      <x:c r="R232" s="15" t="n">
        <x:v>0.993871298071865</x:v>
      </x:c>
      <x:c r="S232" s="17" t="n">
        <x:v>26.436387523334847</x:v>
      </x:c>
      <x:c r="T232" s="17" t="n">
        <x:v>27.46915794706452</x:v>
      </x:c>
      <x:c r="U232" s="23" t="b">
        <x:v>0</x:v>
      </x:c>
    </x:row>
    <x:row r="233" ht="22" customHeight="1">
      <x:c r="A233" s="7" t="str">
        <x:v>G zero</x:v>
      </x:c>
      <x:c r="B233" s="9" t="n">
        <x:v>1</x:v>
      </x:c>
      <x:c r="C233" s="7" t="str">
        <x:v>Inhibitory</x:v>
      </x:c>
      <x:c r="D233" s="11" t="n">
        <x:v>9839</x:v>
      </x:c>
      <x:c r="E233" s="22" t="n">
        <x:v>0.432293497363796</x:v>
      </x:c>
      <x:c r="F233" s="23" t="b">
        <x:v>0</x:v>
      </x:c>
      <x:c r="G233" s="11" t="n">
        <x:v>2530</x:v>
      </x:c>
      <x:c r="H233" s="11" t="n">
        <x:v>2502</x:v>
      </x:c>
      <x:c r="I233" s="13" t="n">
        <x:v>0.455281626777038</x:v>
      </x:c>
      <x:c r="J233" s="13" t="n">
        <x:v>0.438408971438584</x:v>
      </x:c>
      <x:c r="K233" s="17" t="n">
        <x:v>-1.687265533845378</x:v>
      </x:c>
      <x:c r="L233" s="13" t="n">
        <x:v>0.810276679841897</x:v>
      </x:c>
      <x:c r="M233" s="13" t="n">
        <x:v>0.990909090909091</x:v>
      </x:c>
      <x:c r="N233" s="13" t="n">
        <x:v>0.999209486166008</x:v>
      </x:c>
      <x:c r="O233" s="13" t="n">
        <x:v>0.838129496402878</x:v>
      </x:c>
      <x:c r="P233" s="13" t="n">
        <x:v>0.980415667466027</x:v>
      </x:c>
      <x:c r="Q233" s="13" t="n">
        <x:v>0.999600319744205</x:v>
      </x:c>
      <x:c r="R233" s="15" t="n">
        <x:v>0.995489125926314</x:v>
      </x:c>
      <x:c r="S233" s="17" t="n">
        <x:v>17.421977566583333</x:v>
      </x:c>
      <x:c r="T233" s="17" t="n">
        <x:v>16.379638937247755</x:v>
      </x:c>
      <x:c r="U233" s="23" t="b">
        <x:v>0</x:v>
      </x:c>
    </x:row>
    <x:row r="234" ht="22" customHeight="1">
      <x:c r="A234" s="7" t="str">
        <x:v>G zero</x:v>
      </x:c>
      <x:c r="B234" s="9" t="n">
        <x:v>1</x:v>
      </x:c>
      <x:c r="C234" s="7" t="str">
        <x:v>Microglia</x:v>
      </x:c>
      <x:c r="D234" s="11" t="n">
        <x:v>486</x:v>
      </x:c>
      <x:c r="E234" s="22" t="n">
        <x:v>0.021353251318102</x:v>
      </x:c>
      <x:c r="F234" s="23" t="b">
        <x:v>1</x:v>
      </x:c>
      <x:c r="G234" s="11" t="n">
        <x:v>108</x:v>
      </x:c>
      <x:c r="H234" s="11" t="n">
        <x:v>129</x:v>
      </x:c>
      <x:c r="I234" s="13" t="n">
        <x:v>0.019434946913802</x:v>
      </x:c>
      <x:c r="J234" s="13" t="n">
        <x:v>0.022603819870335</x:v>
      </x:c>
      <x:c r="K234" s="17" t="n">
        <x:v>0.316887295653227</x:v>
      </x:c>
      <x:c r="L234" s="13" t="n">
        <x:v>0.083333333333333</x:v>
      </x:c>
      <x:c r="M234" s="13" t="n">
        <x:v>0.222222222222222</x:v>
      </x:c>
      <x:c r="N234" s="13" t="n">
        <x:v>0.648148148148148</x:v>
      </x:c>
      <x:c r="O234" s="13" t="n">
        <x:v>0.085271317829457</x:v>
      </x:c>
      <x:c r="P234" s="13" t="n">
        <x:v>0.224806201550388</x:v>
      </x:c>
      <x:c r="Q234" s="13" t="n">
        <x:v>0.689922480620155</x:v>
      </x:c>
      <x:c r="R234" s="15" t="n">
        <x:v>0.984072816045271</x:v>
      </x:c>
      <x:c r="S234" s="17" t="n">
        <x:v>86.84473483190166</x:v>
      </x:c>
      <x:c r="T234" s="17" t="n">
        <x:v>84.65771900419142</x:v>
      </x:c>
      <x:c r="U234" s="23" t="b">
        <x:v>0</x:v>
      </x:c>
    </x:row>
    <x:row r="235" ht="22" customHeight="1">
      <x:c r="A235" s="7" t="str">
        <x:v>G zero</x:v>
      </x:c>
      <x:c r="B235" s="9" t="n">
        <x:v>1</x:v>
      </x:c>
      <x:c r="C235" s="7" t="str">
        <x:v>OD Immature 1</x:v>
      </x:c>
      <x:c r="D235" s="11" t="n">
        <x:v>829</x:v>
      </x:c>
      <x:c r="E235" s="22" t="n">
        <x:v>0.036423550087873</x:v>
      </x:c>
      <x:c r="F235" s="23" t="b">
        <x:v>1</x:v>
      </x:c>
      <x:c r="G235" s="11" t="n">
        <x:v>183</x:v>
      </x:c>
      <x:c r="H235" s="11" t="n">
        <x:v>205</x:v>
      </x:c>
      <x:c r="I235" s="13" t="n">
        <x:v>0.032931437826165</x:v>
      </x:c>
      <x:c r="J235" s="13" t="n">
        <x:v>0.035920799018749</x:v>
      </x:c>
      <x:c r="K235" s="17" t="n">
        <x:v>0.29893611925837</x:v>
      </x:c>
      <x:c r="L235" s="13" t="n">
        <x:v>0.103825136612022</x:v>
      </x:c>
      <x:c r="M235" s="13" t="n">
        <x:v>0.355191256830601</x:v>
      </x:c>
      <x:c r="N235" s="13" t="n">
        <x:v>0.841530054644809</x:v>
      </x:c>
      <x:c r="O235" s="13" t="n">
        <x:v>0.107317073170732</x:v>
      </x:c>
      <x:c r="P235" s="13" t="n">
        <x:v>0.390243902439024</x:v>
      </x:c>
      <x:c r="Q235" s="13" t="n">
        <x:v>0.873170731707317</x:v>
      </x:c>
      <x:c r="R235" s="15" t="n">
        <x:v>0.994762908998401</x:v>
      </x:c>
      <x:c r="S235" s="17" t="n">
        <x:v>65.75892869900653</x:v>
      </x:c>
      <x:c r="T235" s="17" t="n">
        <x:v>62.23361281813117</x:v>
      </x:c>
      <x:c r="U235" s="23" t="b">
        <x:v>0</x:v>
      </x:c>
    </x:row>
    <x:row r="236" ht="22" customHeight="1">
      <x:c r="A236" s="7" t="str">
        <x:v>G zero</x:v>
      </x:c>
      <x:c r="B236" s="9" t="n">
        <x:v>1</x:v>
      </x:c>
      <x:c r="C236" s="7" t="str">
        <x:v>OD Immature 2</x:v>
      </x:c>
      <x:c r="D236" s="11" t="n">
        <x:v>28</x:v>
      </x:c>
      <x:c r="E236" s="22" t="n">
        <x:v>0.001230228471002</x:v>
      </x:c>
      <x:c r="F236" s="23" t="b">
        <x:v>1</x:v>
      </x:c>
      <x:c r="G236" s="11" t="n">
        <x:v>5</x:v>
      </x:c>
      <x:c r="H236" s="11" t="n">
        <x:v>7</x:v>
      </x:c>
      <x:c r="I236" s="13" t="n">
        <x:v>0.000899766060824</x:v>
      </x:c>
      <x:c r="J236" s="13" t="n">
        <x:v>0.001226563868933</x:v>
      </x:c>
      <x:c r="K236" s="17" t="n">
        <x:v>0.03267978081087</x:v>
      </x:c>
      <x:c r="L236" s="13" t="n">
        <x:v>0</x:v>
      </x:c>
      <x:c r="M236" s="13" t="n">
        <x:v>0</x:v>
      </x:c>
      <x:c r="N236" s="13" t="n">
        <x:v>0.2</x:v>
      </x:c>
      <x:c r="O236" s="13" t="n">
        <x:v>0</x:v>
      </x:c>
      <x:c r="P236" s="13" t="n">
        <x:v>0</x:v>
      </x:c>
      <x:c r="Q236" s="13" t="n">
        <x:v>0.428571428571428</x:v>
      </x:c>
      <x:c r="R236" s="15" t="n">
        <x:v>0.570590483976272</x:v>
      </x:c>
      <x:c r="S236" s="17" t="n">
        <x:v>392.8928658483376</x:v>
      </x:c>
      <x:c r="T236" s="17" t="n">
        <x:v>267.43300428430155</x:v>
      </x:c>
      <x:c r="U236" s="23" t="b">
        <x:v>0</x:v>
      </x:c>
    </x:row>
    <x:row r="237" ht="22" customHeight="1">
      <x:c r="A237" s="7" t="str">
        <x:v>G zero</x:v>
      </x:c>
      <x:c r="B237" s="9" t="n">
        <x:v>1</x:v>
      </x:c>
      <x:c r="C237" s="7" t="str">
        <x:v>OD Mature 1</x:v>
      </x:c>
      <x:c r="D237" s="11" t="n">
        <x:v>209</x:v>
      </x:c>
      <x:c r="E237" s="22" t="n">
        <x:v>0.009182776801406</x:v>
      </x:c>
      <x:c r="F237" s="23" t="b">
        <x:v>1</x:v>
      </x:c>
      <x:c r="G237" s="11" t="n">
        <x:v>29</x:v>
      </x:c>
      <x:c r="H237" s="11" t="n">
        <x:v>58</x:v>
      </x:c>
      <x:c r="I237" s="13" t="n">
        <x:v>0.00521864315278</x:v>
      </x:c>
      <x:c r="J237" s="13" t="n">
        <x:v>0.010162957771158</x:v>
      </x:c>
      <x:c r="K237" s="17" t="n">
        <x:v>0.494431461837795</x:v>
      </x:c>
      <x:c r="L237" s="13" t="n">
        <x:v>0</x:v>
      </x:c>
      <x:c r="M237" s="13" t="n">
        <x:v>0.206896551724138</x:v>
      </x:c>
      <x:c r="N237" s="13" t="n">
        <x:v>0.482758620689655</x:v>
      </x:c>
      <x:c r="O237" s="13" t="n">
        <x:v>0</x:v>
      </x:c>
      <x:c r="P237" s="13" t="n">
        <x:v>0.172413793103448</x:v>
      </x:c>
      <x:c r="Q237" s="13" t="n">
        <x:v>0.379310344827586</x:v>
      </x:c>
      <x:c r="R237" s="15" t="n">
        <x:v>0.981559148575943</x:v>
      </x:c>
      <x:c r="S237" s="17" t="n">
        <x:v>112.77009119194484</x:v>
      </x:c>
      <x:c r="T237" s="17" t="n">
        <x:v>138.75239271981354</x:v>
      </x:c>
      <x:c r="U237" s="23" t="b">
        <x:v>0</x:v>
      </x:c>
    </x:row>
    <x:row r="238" ht="22" customHeight="1">
      <x:c r="A238" s="7" t="str">
        <x:v>G zero</x:v>
      </x:c>
      <x:c r="B238" s="9" t="n">
        <x:v>1</x:v>
      </x:c>
      <x:c r="C238" s="7" t="str">
        <x:v>OD Mature 2</x:v>
      </x:c>
      <x:c r="D238" s="11" t="n">
        <x:v>956</x:v>
      </x:c>
      <x:c r="E238" s="22" t="n">
        <x:v>0.042003514938488</x:v>
      </x:c>
      <x:c r="F238" s="23" t="b">
        <x:v>1</x:v>
      </x:c>
      <x:c r="G238" s="11" t="n">
        <x:v>197</x:v>
      </x:c>
      <x:c r="H238" s="11" t="n">
        <x:v>235</x:v>
      </x:c>
      <x:c r="I238" s="13" t="n">
        <x:v>0.035450782796473</x:v>
      </x:c>
      <x:c r="J238" s="13" t="n">
        <x:v>0.041177501314176</x:v>
      </x:c>
      <x:c r="K238" s="17" t="n">
        <x:v>0.572671851770266</x:v>
      </x:c>
      <x:c r="L238" s="13" t="n">
        <x:v>0.284263959390863</x:v>
      </x:c>
      <x:c r="M238" s="13" t="n">
        <x:v>0.532994923857868</x:v>
      </x:c>
      <x:c r="N238" s="13" t="n">
        <x:v>0.842639593908629</x:v>
      </x:c>
      <x:c r="O238" s="13" t="n">
        <x:v>0.280851063829787</x:v>
      </x:c>
      <x:c r="P238" s="13" t="n">
        <x:v>0.548936170212766</x:v>
      </x:c>
      <x:c r="Q238" s="13" t="n">
        <x:v>0.859574468085106</x:v>
      </x:c>
      <x:c r="R238" s="15" t="n">
        <x:v>0.997418215756794</x:v>
      </x:c>
      <x:c r="S238" s="17" t="n">
        <x:v>60.45629941515003</x:v>
      </x:c>
      <x:c r="T238" s="17" t="n">
        <x:v>56.34877080328777</x:v>
      </x:c>
      <x:c r="U238" s="23" t="b">
        <x:v>0</x:v>
      </x:c>
    </x:row>
    <x:row r="239" ht="22" customHeight="1">
      <x:c r="A239" s="7" t="str">
        <x:v>G zero</x:v>
      </x:c>
      <x:c r="B239" s="9" t="n">
        <x:v>1</x:v>
      </x:c>
      <x:c r="C239" s="7" t="str">
        <x:v>OD Mature 3</x:v>
      </x:c>
      <x:c r="D239" s="11" t="n">
        <x:v>11</x:v>
      </x:c>
      <x:c r="E239" s="22" t="n">
        <x:v>0.000483304042179</x:v>
      </x:c>
      <x:c r="F239" s="23" t="b">
        <x:v>1</x:v>
      </x:c>
      <x:c r="G239" s="11" t="n">
        <x:v>3</x:v>
      </x:c>
      <x:c r="H239" s="11" t="n">
        <x:v>1</x:v>
      </x:c>
      <x:c r="I239" s="13" t="n">
        <x:v>0.000539859636494</x:v>
      </x:c>
      <x:c r="J239" s="13" t="n">
        <x:v>0.000175223409848</x:v>
      </x:c>
      <x:c r="K239" s="17" t="n">
        <x:v>-0.036463622664696</x:v>
      </x:c>
      <x:c r="L239" s="13" t="n">
        <x:v>0</x:v>
      </x:c>
      <x:c r="M239" s="13" t="n">
        <x:v>0</x:v>
      </x:c>
      <x:c r="N239" s="13" t="n">
        <x:v>0</x:v>
      </x:c>
      <x:c r="O239" s="13" t="n">
        <x:v>0</x:v>
      </x:c>
      <x:c r="P239" s="13" t="n">
        <x:v>0</x:v>
      </x:c>
      <x:c r="Q239" s="13" t="n">
        <x:v>0</x:v>
      </x:c>
      <x:c r="R239" s="15" t="n">
        <x:v>0.81494485223816</x:v>
      </x:c>
      <x:c r="S239" s="17" t="n">
        <x:v>1300.9490817891462</x:v>
      </x:c>
      <x:c r="T239" s="17" t="n">
        <x:v>855.1351147914795</x:v>
      </x:c>
      <x:c r="U239" s="23" t="b">
        <x:v>0</x:v>
      </x:c>
    </x:row>
    <x:row r="240" ht="22" customHeight="1">
      <x:c r="A240" s="7" t="str">
        <x:v>G zero</x:v>
      </x:c>
      <x:c r="B240" s="9" t="n">
        <x:v>1</x:v>
      </x:c>
      <x:c r="C240" s="7" t="str">
        <x:v>OD Mature 4</x:v>
      </x:c>
      <x:c r="D240" s="11" t="n">
        <x:v>36</x:v>
      </x:c>
      <x:c r="E240" s="22" t="n">
        <x:v>0.001581722319859</x:v>
      </x:c>
      <x:c r="F240" s="23" t="b">
        <x:v>1</x:v>
      </x:c>
      <x:c r="G240" s="11" t="n">
        <x:v>11</x:v>
      </x:c>
      <x:c r="H240" s="11" t="n">
        <x:v>9</x:v>
      </x:c>
      <x:c r="I240" s="13" t="n">
        <x:v>0.001979485333813</x:v>
      </x:c>
      <x:c r="J240" s="13" t="n">
        <x:v>0.001577010688628</x:v>
      </x:c>
      <x:c r="K240" s="17" t="n">
        <x:v>-0.040247464518521</x:v>
      </x:c>
      <x:c r="L240" s="13" t="n">
        <x:v>0</x:v>
      </x:c>
      <x:c r="M240" s="13" t="n">
        <x:v>0</x:v>
      </x:c>
      <x:c r="N240" s="13" t="n">
        <x:v>0.272727272727273</x:v>
      </x:c>
      <x:c r="O240" s="13" t="n">
        <x:v>0</x:v>
      </x:c>
      <x:c r="P240" s="13" t="n">
        <x:v>0</x:v>
      </x:c>
      <x:c r="Q240" s="13" t="n">
        <x:v>0.333333333333333</x:v>
      </x:c>
      <x:c r="R240" s="15" t="n">
        <x:v>0.905408357355525</x:v>
      </x:c>
      <x:c r="S240" s="17" t="n">
        <x:v>456.8163263628381</x:v>
      </x:c>
      <x:c r="T240" s="17" t="n">
        <x:v>214.6803292766008</x:v>
      </x:c>
      <x:c r="U240" s="23" t="b">
        <x:v>0</x:v>
      </x:c>
    </x:row>
    <x:row r="241" ht="22" customHeight="1">
      <x:c r="A241" s="7" t="str">
        <x:v>G zero</x:v>
      </x:c>
      <x:c r="B241" s="9" t="n">
        <x:v>1</x:v>
      </x:c>
      <x:c r="C241" s="7" t="str">
        <x:v>Pericytes</x:v>
      </x:c>
      <x:c r="D241" s="11" t="n">
        <x:v>167</x:v>
      </x:c>
      <x:c r="E241" s="22" t="n">
        <x:v>0.007337434094903</x:v>
      </x:c>
      <x:c r="F241" s="23" t="b">
        <x:v>1</x:v>
      </x:c>
      <x:c r="G241" s="11" t="n">
        <x:v>37</x:v>
      </x:c>
      <x:c r="H241" s="11" t="n">
        <x:v>27</x:v>
      </x:c>
      <x:c r="I241" s="13" t="n">
        <x:v>0.006658268850099</x:v>
      </x:c>
      <x:c r="J241" s="13" t="n">
        <x:v>0.004731032065884</x:v>
      </x:c>
      <x:c r="K241" s="17" t="n">
        <x:v>-0.192723678421497</x:v>
      </x:c>
      <x:c r="L241" s="13" t="n">
        <x:v>0</x:v>
      </x:c>
      <x:c r="M241" s="13" t="n">
        <x:v>0.216216216216216</x:v>
      </x:c>
      <x:c r="N241" s="13" t="n">
        <x:v>0.297297297297297</x:v>
      </x:c>
      <x:c r="O241" s="13" t="n">
        <x:v>0</x:v>
      </x:c>
      <x:c r="P241" s="13" t="n">
        <x:v>0.259259259259259</x:v>
      </x:c>
      <x:c r="Q241" s="13" t="n">
        <x:v>0.481481481481481</x:v>
      </x:c>
      <x:c r="R241" s="15" t="n">
        <x:v>0.973946856042644</x:v>
      </x:c>
      <x:c r="S241" s="17" t="n">
        <x:v>199.29698264521383</x:v>
      </x:c>
      <x:c r="T241" s="17" t="n">
        <x:v>165.98476802461542</x:v>
      </x:c>
      <x:c r="U241" s="23" t="b">
        <x:v>0</x:v>
      </x:c>
    </x:row>
    <x:row r="242" ht="22" customHeight="1">
      <x:c r="A242" s="7" t="str">
        <x:v>G zero</x:v>
      </x:c>
      <x:c r="B242" s="9" t="n">
        <x:v>2</x:v>
      </x:c>
      <x:c r="C242" s="7" t="str">
        <x:v>Astrocyte</x:v>
      </x:c>
      <x:c r="D242" s="11" t="n">
        <x:v>2738</x:v>
      </x:c>
      <x:c r="E242" s="22" t="n">
        <x:v>0.122281273726051</x:v>
      </x:c>
      <x:c r="F242" s="23" t="b">
        <x:v>0</x:v>
      </x:c>
      <x:c r="G242" s="11" t="n">
        <x:v>668</x:v>
      </x:c>
      <x:c r="H242" s="11" t="n">
        <x:v>649</x:v>
      </x:c>
      <x:c r="I242" s="13" t="n">
        <x:v>0.112723590955113</x:v>
      </x:c>
      <x:c r="J242" s="13" t="n">
        <x:v>0.114260563380282</x:v>
      </x:c>
      <x:c r="K242" s="17" t="n">
        <x:v>0.153697242516863</x:v>
      </x:c>
      <x:c r="L242" s="13" t="n">
        <x:v>0.312874251497006</x:v>
      </x:c>
      <x:c r="M242" s="13" t="n">
        <x:v>0.738023952095808</x:v>
      </x:c>
      <x:c r="N242" s="13" t="n">
        <x:v>0.99251497005988</x:v>
      </x:c>
      <x:c r="O242" s="13" t="n">
        <x:v>0.35593220338983</x:v>
      </x:c>
      <x:c r="P242" s="13" t="n">
        <x:v>0.798151001540832</x:v>
      </x:c>
      <x:c r="Q242" s="13" t="n">
        <x:v>0.99537750385208</x:v>
      </x:c>
      <x:c r="R242" s="15" t="n">
        <x:v>0.996176940455267</x:v>
      </x:c>
      <x:c r="S242" s="17" t="n">
        <x:v>38.16463249800131</x:v>
      </x:c>
      <x:c r="T242" s="17" t="n">
        <x:v>34.31767978109163</x:v>
      </x:c>
      <x:c r="U242" s="23" t="b">
        <x:v>0</x:v>
      </x:c>
    </x:row>
    <x:row r="243" ht="22" customHeight="1">
      <x:c r="A243" s="7" t="str">
        <x:v>G zero</x:v>
      </x:c>
      <x:c r="B243" s="9" t="n">
        <x:v>2</x:v>
      </x:c>
      <x:c r="C243" s="7" t="str">
        <x:v>Endothelial 1</x:v>
      </x:c>
      <x:c r="D243" s="11" t="n">
        <x:v>1190</x:v>
      </x:c>
      <x:c r="E243" s="22" t="n">
        <x:v>0.053146353445581</x:v>
      </x:c>
      <x:c r="F243" s="23" t="b">
        <x:v>0</x:v>
      </x:c>
      <x:c r="G243" s="11" t="n">
        <x:v>290</x:v>
      </x:c>
      <x:c r="H243" s="11" t="n">
        <x:v>287</x:v>
      </x:c>
      <x:c r="I243" s="13" t="n">
        <x:v>0.048936888288896</x:v>
      </x:c>
      <x:c r="J243" s="13" t="n">
        <x:v>0.050528169014084</x:v>
      </x:c>
      <x:c r="K243" s="17" t="n">
        <x:v>0.159128072518812</x:v>
      </x:c>
      <x:c r="L243" s="13" t="n">
        <x:v>0.131034482758621</x:v>
      </x:c>
      <x:c r="M243" s="13" t="n">
        <x:v>0.410344827586207</x:v>
      </x:c>
      <x:c r="N243" s="13" t="n">
        <x:v>0.858620689655172</x:v>
      </x:c>
      <x:c r="O243" s="13" t="n">
        <x:v>0.18815331010453</x:v>
      </x:c>
      <x:c r="P243" s="13" t="n">
        <x:v>0.550522648083624</x:v>
      </x:c>
      <x:c r="Q243" s="13" t="n">
        <x:v>0.97212543554007</x:v>
      </x:c>
      <x:c r="R243" s="15" t="n">
        <x:v>0.996244945726222</x:v>
      </x:c>
      <x:c r="S243" s="17" t="n">
        <x:v>68.27432481745859</x:v>
      </x:c>
      <x:c r="T243" s="17" t="n">
        <x:v>50.07646872760775</x:v>
      </x:c>
      <x:c r="U243" s="23" t="b">
        <x:v>0</x:v>
      </x:c>
    </x:row>
    <x:row r="244" ht="22" customHeight="1">
      <x:c r="A244" s="7" t="str">
        <x:v>G zero</x:v>
      </x:c>
      <x:c r="B244" s="9" t="n">
        <x:v>2</x:v>
      </x:c>
      <x:c r="C244" s="7" t="str">
        <x:v>Endothelial 2</x:v>
      </x:c>
      <x:c r="D244" s="11" t="n">
        <x:v>127</x:v>
      </x:c>
      <x:c r="E244" s="22" t="n">
        <x:v>0.005671921754276</x:v>
      </x:c>
      <x:c r="F244" s="23" t="b">
        <x:v>1</x:v>
      </x:c>
      <x:c r="G244" s="11" t="n">
        <x:v>17</x:v>
      </x:c>
      <x:c r="H244" s="11" t="n">
        <x:v>35</x:v>
      </x:c>
      <x:c r="I244" s="13" t="n">
        <x:v>0.002868714141073</x:v>
      </x:c>
      <x:c r="J244" s="13" t="n">
        <x:v>0.006161971830986</x:v>
      </x:c>
      <x:c r="K244" s="17" t="n">
        <x:v>0.329325768991268</x:v>
      </x:c>
      <x:c r="L244" s="13" t="n">
        <x:v>0.117647058823529</x:v>
      </x:c>
      <x:c r="M244" s="13" t="n">
        <x:v>0.176470588235294</x:v>
      </x:c>
      <x:c r="N244" s="13" t="n">
        <x:v>0.294117647058824</x:v>
      </x:c>
      <x:c r="O244" s="13" t="n">
        <x:v>0.057142857142857</x:v>
      </x:c>
      <x:c r="P244" s="13" t="n">
        <x:v>0.085714285714286</x:v>
      </x:c>
      <x:c r="Q244" s="13" t="n">
        <x:v>0.114285714285714</x:v>
      </x:c>
      <x:c r="R244" s="15" t="n">
        <x:v>0.935604104036055</x:v>
      </x:c>
      <x:c r="S244" s="17" t="n">
        <x:v>165.71728119717676</x:v>
      </x:c>
      <x:c r="T244" s="17" t="n">
        <x:v>224.3346374649114</x:v>
      </x:c>
      <x:c r="U244" s="23" t="b">
        <x:v>0</x:v>
      </x:c>
    </x:row>
    <x:row r="245" ht="22" customHeight="1">
      <x:c r="A245" s="7" t="str">
        <x:v>G zero</x:v>
      </x:c>
      <x:c r="B245" s="9" t="n">
        <x:v>2</x:v>
      </x:c>
      <x:c r="C245" s="7" t="str">
        <x:v>Endothelial 3</x:v>
      </x:c>
      <x:c r="D245" s="11" t="n">
        <x:v>442</x:v>
      </x:c>
      <x:c r="E245" s="22" t="n">
        <x:v>0.01974007413693</x:v>
      </x:c>
      <x:c r="F245" s="23" t="b">
        <x:v>1</x:v>
      </x:c>
      <x:c r="G245" s="11" t="n">
        <x:v>107</x:v>
      </x:c>
      <x:c r="H245" s="11" t="n">
        <x:v>105</x:v>
      </x:c>
      <x:c r="I245" s="13" t="n">
        <x:v>0.018056024299696</x:v>
      </x:c>
      <x:c r="J245" s="13" t="n">
        <x:v>0.018485915492958</x:v>
      </x:c>
      <x:c r="K245" s="17" t="n">
        <x:v>0.042989119326149</x:v>
      </x:c>
      <x:c r="L245" s="13" t="n">
        <x:v>0.046728971962617</x:v>
      </x:c>
      <x:c r="M245" s="13" t="n">
        <x:v>0.158878504672897</x:v>
      </x:c>
      <x:c r="N245" s="13" t="n">
        <x:v>0.570093457943925</x:v>
      </x:c>
      <x:c r="O245" s="13" t="n">
        <x:v>0.047619047619048</x:v>
      </x:c>
      <x:c r="P245" s="13" t="n">
        <x:v>0.161904761904762</x:v>
      </x:c>
      <x:c r="Q245" s="13" t="n">
        <x:v>0.552380952380952</x:v>
      </x:c>
      <x:c r="R245" s="15" t="n">
        <x:v>0.983637270367414</x:v>
      </x:c>
      <x:c r="S245" s="17" t="n">
        <x:v>96.17737591458376</x:v>
      </x:c>
      <x:c r="T245" s="17" t="n">
        <x:v>94.40827883201727</x:v>
      </x:c>
      <x:c r="U245" s="23" t="b">
        <x:v>0</x:v>
      </x:c>
    </x:row>
    <x:row r="246" ht="22" customHeight="1">
      <x:c r="A246" s="7" t="str">
        <x:v>G zero</x:v>
      </x:c>
      <x:c r="B246" s="9" t="n">
        <x:v>2</x:v>
      </x:c>
      <x:c r="C246" s="7" t="str">
        <x:v>Ependymal</x:v>
      </x:c>
      <x:c r="D246" s="11" t="n">
        <x:v>1014</x:v>
      </x:c>
      <x:c r="E246" s="22" t="n">
        <x:v>0.045286052431781</x:v>
      </x:c>
      <x:c r="F246" s="23" t="b">
        <x:v>1</x:v>
      </x:c>
      <x:c r="G246" s="11" t="n">
        <x:v>273</x:v>
      </x:c>
      <x:c r="H246" s="11" t="n">
        <x:v>269</x:v>
      </x:c>
      <x:c r="I246" s="13" t="n">
        <x:v>0.046068174147823</x:v>
      </x:c>
      <x:c r="J246" s="13" t="n">
        <x:v>0.047359154929577</x:v>
      </x:c>
      <x:c r="K246" s="17" t="n">
        <x:v>0.129098078175431</x:v>
      </x:c>
      <x:c r="L246" s="13" t="n">
        <x:v>0.798534798534799</x:v>
      </x:c>
      <x:c r="M246" s="13" t="n">
        <x:v>0.992673992673993</x:v>
      </x:c>
      <x:c r="N246" s="13" t="n">
        <x:v>1</x:v>
      </x:c>
      <x:c r="O246" s="13" t="n">
        <x:v>0.762081784386617</x:v>
      </x:c>
      <x:c r="P246" s="13" t="n">
        <x:v>0.936802973977695</x:v>
      </x:c>
      <x:c r="Q246" s="13" t="n">
        <x:v>1</x:v>
      </x:c>
      <x:c r="R246" s="15" t="n">
        <x:v>0.996436415269055</x:v>
      </x:c>
      <x:c r="S246" s="17" t="n">
        <x:v>16.445783553864846</x:v>
      </x:c>
      <x:c r="T246" s="17" t="n">
        <x:v>19.35161968060479</x:v>
      </x:c>
      <x:c r="U246" s="23" t="b">
        <x:v>0</x:v>
      </x:c>
    </x:row>
    <x:row r="247" ht="22" customHeight="1">
      <x:c r="A247" s="7" t="str">
        <x:v>G zero</x:v>
      </x:c>
      <x:c r="B247" s="9" t="n">
        <x:v>2</x:v>
      </x:c>
      <x:c r="C247" s="7" t="str">
        <x:v>Excitatory</x:v>
      </x:c>
      <x:c r="D247" s="11" t="n">
        <x:v>4575</x:v>
      </x:c>
      <x:c r="E247" s="22" t="n">
        <x:v>0.20432316555759</x:v>
      </x:c>
      <x:c r="F247" s="23" t="b">
        <x:v>0</x:v>
      </x:c>
      <x:c r="G247" s="11" t="n">
        <x:v>1212</x:v>
      </x:c>
      <x:c r="H247" s="11" t="n">
        <x:v>1140</x:v>
      </x:c>
      <x:c r="I247" s="13" t="n">
        <x:v>0.204522443469457</x:v>
      </x:c>
      <x:c r="J247" s="13" t="n">
        <x:v>0.200704225352113</x:v>
      </x:c>
      <x:c r="K247" s="17" t="n">
        <x:v>-0.381821811734395</x:v>
      </x:c>
      <x:c r="L247" s="13" t="n">
        <x:v>0.500825082508251</x:v>
      </x:c>
      <x:c r="M247" s="13" t="n">
        <x:v>0.895214521452145</x:v>
      </x:c>
      <x:c r="N247" s="13" t="n">
        <x:v>0.996699669966997</x:v>
      </x:c>
      <x:c r="O247" s="13" t="n">
        <x:v>0.571929824561404</x:v>
      </x:c>
      <x:c r="P247" s="13" t="n">
        <x:v>0.919298245614035</x:v>
      </x:c>
      <x:c r="Q247" s="13" t="n">
        <x:v>1</x:v>
      </x:c>
      <x:c r="R247" s="15" t="n">
        <x:v>0.995667716081836</x:v>
      </x:c>
      <x:c r="S247" s="17" t="n">
        <x:v>27.864120221827925</x:v>
      </x:c>
      <x:c r="T247" s="17" t="n">
        <x:v>25.308788525419736</x:v>
      </x:c>
      <x:c r="U247" s="23" t="b">
        <x:v>0</x:v>
      </x:c>
    </x:row>
    <x:row r="248" ht="22" customHeight="1">
      <x:c r="A248" s="7" t="str">
        <x:v>G zero</x:v>
      </x:c>
      <x:c r="B248" s="9" t="n">
        <x:v>2</x:v>
      </x:c>
      <x:c r="C248" s="7" t="str">
        <x:v>Inhibitory</x:v>
      </x:c>
      <x:c r="D248" s="11" t="n">
        <x:v>9639</x:v>
      </x:c>
      <x:c r="E248" s="22" t="n">
        <x:v>0.430485462909205</x:v>
      </x:c>
      <x:c r="F248" s="23" t="b">
        <x:v>0</x:v>
      </x:c>
      <x:c r="G248" s="11" t="n">
        <x:v>2730</x:v>
      </x:c>
      <x:c r="H248" s="11" t="n">
        <x:v>2569</x:v>
      </x:c>
      <x:c r="I248" s="13" t="n">
        <x:v>0.460681741478232</x:v>
      </x:c>
      <x:c r="J248" s="13" t="n">
        <x:v>0.452288732394366</x:v>
      </x:c>
      <x:c r="K248" s="17" t="n">
        <x:v>-0.839300908386537</x:v>
      </x:c>
      <x:c r="L248" s="13" t="n">
        <x:v>0.783882783882784</x:v>
      </x:c>
      <x:c r="M248" s="13" t="n">
        <x:v>0.974725274725275</x:v>
      </x:c>
      <x:c r="N248" s="13" t="n">
        <x:v>0.998901098901099</x:v>
      </x:c>
      <x:c r="O248" s="13" t="n">
        <x:v>0.857532113662904</x:v>
      </x:c>
      <x:c r="P248" s="13" t="n">
        <x:v>0.982872713117945</x:v>
      </x:c>
      <x:c r="Q248" s="13" t="n">
        <x:v>0.999221486959906</x:v>
      </x:c>
      <x:c r="R248" s="15" t="n">
        <x:v>0.996903829121508</x:v>
      </x:c>
      <x:c r="S248" s="17" t="n">
        <x:v>18.3967975969594</x:v>
      </x:c>
      <x:c r="T248" s="17" t="n">
        <x:v>15.849284143826338</x:v>
      </x:c>
      <x:c r="U248" s="23" t="b">
        <x:v>0</x:v>
      </x:c>
    </x:row>
    <x:row r="249" ht="22" customHeight="1">
      <x:c r="A249" s="7" t="str">
        <x:v>G zero</x:v>
      </x:c>
      <x:c r="B249" s="9" t="n">
        <x:v>2</x:v>
      </x:c>
      <x:c r="C249" s="7" t="str">
        <x:v>Microglia</x:v>
      </x:c>
      <x:c r="D249" s="11" t="n">
        <x:v>454</x:v>
      </x:c>
      <x:c r="E249" s="22" t="n">
        <x:v>0.020276003751507</x:v>
      </x:c>
      <x:c r="F249" s="23" t="b">
        <x:v>1</x:v>
      </x:c>
      <x:c r="G249" s="11" t="n">
        <x:v>140</x:v>
      </x:c>
      <x:c r="H249" s="11" t="n">
        <x:v>114</x:v>
      </x:c>
      <x:c r="I249" s="13" t="n">
        <x:v>0.023624704691191</x:v>
      </x:c>
      <x:c r="J249" s="13" t="n">
        <x:v>0.020070422535211</x:v>
      </x:c>
      <x:c r="K249" s="17" t="n">
        <x:v>-0.355428215598009</x:v>
      </x:c>
      <x:c r="L249" s="13" t="n">
        <x:v>0.035714285714286</x:v>
      </x:c>
      <x:c r="M249" s="13" t="n">
        <x:v>0.135714285714286</x:v>
      </x:c>
      <x:c r="N249" s="13" t="n">
        <x:v>0.564285714285714</x:v>
      </x:c>
      <x:c r="O249" s="13" t="n">
        <x:v>0.052631578947368</x:v>
      </x:c>
      <x:c r="P249" s="13" t="n">
        <x:v>0.184210526315789</x:v>
      </x:c>
      <x:c r="Q249" s="13" t="n">
        <x:v>0.763157894736842</x:v>
      </x:c>
      <x:c r="R249" s="15" t="n">
        <x:v>0.985982435606611</x:v>
      </x:c>
      <x:c r="S249" s="17" t="n">
        <x:v>107.21432408368705</x:v>
      </x:c>
      <x:c r="T249" s="17" t="n">
        <x:v>78.11287923706104</x:v>
      </x:c>
      <x:c r="U249" s="23" t="b">
        <x:v>0</x:v>
      </x:c>
    </x:row>
    <x:row r="250" ht="22" customHeight="1">
      <x:c r="A250" s="7" t="str">
        <x:v>G zero</x:v>
      </x:c>
      <x:c r="B250" s="9" t="n">
        <x:v>2</x:v>
      </x:c>
      <x:c r="C250" s="7" t="str">
        <x:v>OD Immature 1</x:v>
      </x:c>
      <x:c r="D250" s="11" t="n">
        <x:v>826</x:v>
      </x:c>
      <x:c r="E250" s="22" t="n">
        <x:v>0.036889821803403</x:v>
      </x:c>
      <x:c r="F250" s="23" t="b">
        <x:v>1</x:v>
      </x:c>
      <x:c r="G250" s="11" t="n">
        <x:v>186</x:v>
      </x:c>
      <x:c r="H250" s="11" t="n">
        <x:v>191</x:v>
      </x:c>
      <x:c r="I250" s="13" t="n">
        <x:v>0.031387107661154</x:v>
      </x:c>
      <x:c r="J250" s="13" t="n">
        <x:v>0.03362676056338</x:v>
      </x:c>
      <x:c r="K250" s="17" t="n">
        <x:v>0.223965290222604</x:v>
      </x:c>
      <x:c r="L250" s="13" t="n">
        <x:v>0.075268817204301</x:v>
      </x:c>
      <x:c r="M250" s="13" t="n">
        <x:v>0.32258064516129</x:v>
      </x:c>
      <x:c r="N250" s="13" t="n">
        <x:v>0.827956989247312</x:v>
      </x:c>
      <x:c r="O250" s="13" t="n">
        <x:v>0.083769633507853</x:v>
      </x:c>
      <x:c r="P250" s="13" t="n">
        <x:v>0.387434554973822</x:v>
      </x:c>
      <x:c r="Q250" s="13" t="n">
        <x:v>0.905759162303665</x:v>
      </x:c>
      <x:c r="R250" s="15" t="n">
        <x:v>0.992629713945518</x:v>
      </x:c>
      <x:c r="S250" s="17" t="n">
        <x:v>70.39482250749991</x:v>
      </x:c>
      <x:c r="T250" s="17" t="n">
        <x:v>59.52017638854719</x:v>
      </x:c>
      <x:c r="U250" s="23" t="b">
        <x:v>0</x:v>
      </x:c>
    </x:row>
    <x:row r="251" ht="22" customHeight="1">
      <x:c r="A251" s="7" t="str">
        <x:v>G zero</x:v>
      </x:c>
      <x:c r="B251" s="9" t="n">
        <x:v>2</x:v>
      </x:c>
      <x:c r="C251" s="7" t="str">
        <x:v>OD Immature 2</x:v>
      </x:c>
      <x:c r="D251" s="11" t="n">
        <x:v>28</x:v>
      </x:c>
      <x:c r="E251" s="22" t="n">
        <x:v>0.001250502434014</x:v>
      </x:c>
      <x:c r="F251" s="23" t="b">
        <x:v>1</x:v>
      </x:c>
      <x:c r="G251" s="11" t="n">
        <x:v>5</x:v>
      </x:c>
      <x:c r="H251" s="11" t="n">
        <x:v>6</x:v>
      </x:c>
      <x:c r="I251" s="13" t="n">
        <x:v>0.000843739453257</x:v>
      </x:c>
      <x:c r="J251" s="13" t="n">
        <x:v>0.001056338028169</x:v>
      </x:c>
      <x:c r="K251" s="17" t="n">
        <x:v>0.021259857491218</x:v>
      </x:c>
      <x:c r="L251" s="13" t="n">
        <x:v>0</x:v>
      </x:c>
      <x:c r="M251" s="13" t="n">
        <x:v>0</x:v>
      </x:c>
      <x:c r="N251" s="13" t="n">
        <x:v>0</x:v>
      </x:c>
      <x:c r="O251" s="13" t="n">
        <x:v>0</x:v>
      </x:c>
      <x:c r="P251" s="13" t="n">
        <x:v>0</x:v>
      </x:c>
      <x:c r="Q251" s="13" t="n">
        <x:v>0</x:v>
      </x:c>
      <x:c r="R251" s="15" t="n">
        <x:v>0.717752856032113</x:v>
      </x:c>
      <x:c r="S251" s="17" t="n">
        <x:v>200.5745438620309</x:v>
      </x:c>
      <x:c r="T251" s="17" t="n">
        <x:v>533.2682311981964</x:v>
      </x:c>
      <x:c r="U251" s="23" t="b">
        <x:v>0</x:v>
      </x:c>
    </x:row>
    <x:row r="252" ht="22" customHeight="1">
      <x:c r="A252" s="7" t="str">
        <x:v>G zero</x:v>
      </x:c>
      <x:c r="B252" s="9" t="n">
        <x:v>2</x:v>
      </x:c>
      <x:c r="C252" s="7" t="str">
        <x:v>OD Mature 1</x:v>
      </x:c>
      <x:c r="D252" s="11" t="n">
        <x:v>195</x:v>
      </x:c>
      <x:c r="E252" s="22" t="n">
        <x:v>0.008708856236881</x:v>
      </x:c>
      <x:c r="F252" s="23" t="b">
        <x:v>1</x:v>
      </x:c>
      <x:c r="G252" s="11" t="n">
        <x:v>43</x:v>
      </x:c>
      <x:c r="H252" s="11" t="n">
        <x:v>37</x:v>
      </x:c>
      <x:c r="I252" s="13" t="n">
        <x:v>0.007256159298009</x:v>
      </x:c>
      <x:c r="J252" s="13" t="n">
        <x:v>0.006514084507042</x:v>
      </x:c>
      <x:c r="K252" s="17" t="n">
        <x:v>-0.074207479096652</x:v>
      </x:c>
      <x:c r="L252" s="13" t="n">
        <x:v>0.023255813953488</x:v>
      </x:c>
      <x:c r="M252" s="13" t="n">
        <x:v>0.162790697674419</x:v>
      </x:c>
      <x:c r="N252" s="13" t="n">
        <x:v>0.395348837209302</x:v>
      </x:c>
      <x:c r="O252" s="13" t="n">
        <x:v>0.027027027027027</x:v>
      </x:c>
      <x:c r="P252" s="13" t="n">
        <x:v>0.297297297297297</x:v>
      </x:c>
      <x:c r="Q252" s="13" t="n">
        <x:v>0.702702702702703</x:v>
      </x:c>
      <x:c r="R252" s="15" t="n">
        <x:v>0.979795320660076</x:v>
      </x:c>
      <x:c r="S252" s="17" t="n">
        <x:v>147.03277132955284</x:v>
      </x:c>
      <x:c r="T252" s="17" t="n">
        <x:v>94.73917813428194</x:v>
      </x:c>
      <x:c r="U252" s="23" t="b">
        <x:v>0</x:v>
      </x:c>
    </x:row>
    <x:row r="253" ht="22" customHeight="1">
      <x:c r="A253" s="7" t="str">
        <x:v>G zero</x:v>
      </x:c>
      <x:c r="B253" s="9" t="n">
        <x:v>2</x:v>
      </x:c>
      <x:c r="C253" s="7" t="str">
        <x:v>OD Mature 2</x:v>
      </x:c>
      <x:c r="D253" s="11" t="n">
        <x:v>936</x:v>
      </x:c>
      <x:c r="E253" s="22" t="n">
        <x:v>0.041802509937028</x:v>
      </x:c>
      <x:c r="F253" s="23" t="b">
        <x:v>1</x:v>
      </x:c>
      <x:c r="G253" s="11" t="n">
        <x:v>217</x:v>
      </x:c>
      <x:c r="H253" s="11" t="n">
        <x:v>221</x:v>
      </x:c>
      <x:c r="I253" s="13" t="n">
        <x:v>0.036618292271347</x:v>
      </x:c>
      <x:c r="J253" s="13" t="n">
        <x:v>0.038908450704225</x:v>
      </x:c>
      <x:c r="K253" s="17" t="n">
        <x:v>0.229015843287874</x:v>
      </x:c>
      <x:c r="L253" s="13" t="n">
        <x:v>0.276497695852535</x:v>
      </x:c>
      <x:c r="M253" s="13" t="n">
        <x:v>0.599078341013825</x:v>
      </x:c>
      <x:c r="N253" s="13" t="n">
        <x:v>0.857142857142857</x:v>
      </x:c>
      <x:c r="O253" s="13" t="n">
        <x:v>0.294117647058824</x:v>
      </x:c>
      <x:c r="P253" s="13" t="n">
        <x:v>0.619909502262444</x:v>
      </x:c>
      <x:c r="Q253" s="13" t="n">
        <x:v>0.846153846153846</x:v>
      </x:c>
      <x:c r="R253" s="15" t="n">
        <x:v>0.996751423772182</x:v>
      </x:c>
      <x:c r="S253" s="17" t="n">
        <x:v>53.32295806832757</x:v>
      </x:c>
      <x:c r="T253" s="17" t="n">
        <x:v>53.83214595601863</x:v>
      </x:c>
      <x:c r="U253" s="23" t="b">
        <x:v>0</x:v>
      </x:c>
    </x:row>
    <x:row r="254" ht="22" customHeight="1">
      <x:c r="A254" s="7" t="str">
        <x:v>G zero</x:v>
      </x:c>
      <x:c r="B254" s="9" t="n">
        <x:v>2</x:v>
      </x:c>
      <x:c r="C254" s="7" t="str">
        <x:v>OD Mature 3</x:v>
      </x:c>
      <x:c r="D254" s="11" t="n">
        <x:v>12</x:v>
      </x:c>
      <x:c r="E254" s="22" t="n">
        <x:v>0.000535929614577</x:v>
      </x:c>
      <x:c r="F254" s="23" t="b">
        <x:v>1</x:v>
      </x:c>
      <x:c r="G254" s="11" t="n">
        <x:v>2</x:v>
      </x:c>
      <x:c r="H254" s="11" t="n">
        <x:v>3</x:v>
      </x:c>
      <x:c r="I254" s="13" t="n">
        <x:v>0.000337495781303</x:v>
      </x:c>
      <x:c r="J254" s="13" t="n">
        <x:v>0.000528169014085</x:v>
      </x:c>
      <x:c r="K254" s="17" t="n">
        <x:v>0.019067323278177</x:v>
      </x:c>
      <x:c r="L254" s="13" t="n">
        <x:v>0</x:v>
      </x:c>
      <x:c r="M254" s="13" t="n">
        <x:v>0</x:v>
      </x:c>
      <x:c r="N254" s="13" t="n">
        <x:v>0</x:v>
      </x:c>
      <x:c r="O254" s="13" t="n">
        <x:v>0</x:v>
      </x:c>
      <x:c r="P254" s="13" t="n">
        <x:v>0</x:v>
      </x:c>
      <x:c r="Q254" s="13" t="n">
        <x:v>0</x:v>
      </x:c>
      <x:c r="R254" s="15" t="n">
        <x:v>0.86920425448549</x:v>
      </x:c>
      <x:c r="S254" s="17" t="n">
        <x:v>649.1382825614123</x:v>
      </x:c>
      <x:c r="T254" s="17" t="n">
        <x:v>868.4318660417692</x:v>
      </x:c>
      <x:c r="U254" s="23" t="b">
        <x:v>0</x:v>
      </x:c>
    </x:row>
    <x:row r="255" ht="22" customHeight="1">
      <x:c r="A255" s="7" t="str">
        <x:v>G zero</x:v>
      </x:c>
      <x:c r="B255" s="9" t="n">
        <x:v>2</x:v>
      </x:c>
      <x:c r="C255" s="7" t="str">
        <x:v>OD Mature 4</x:v>
      </x:c>
      <x:c r="D255" s="11" t="n">
        <x:v>36</x:v>
      </x:c>
      <x:c r="E255" s="22" t="n">
        <x:v>0.001607788843732</x:v>
      </x:c>
      <x:c r="F255" s="23" t="b">
        <x:v>1</x:v>
      </x:c>
      <x:c r="G255" s="11" t="n">
        <x:v>11</x:v>
      </x:c>
      <x:c r="H255" s="11" t="n">
        <x:v>10</x:v>
      </x:c>
      <x:c r="I255" s="13" t="n">
        <x:v>0.001856226797165</x:v>
      </x:c>
      <x:c r="J255" s="13" t="n">
        <x:v>0.001760563380282</x:v>
      </x:c>
      <x:c r="K255" s="17" t="n">
        <x:v>-0.009566341688334</x:v>
      </x:c>
      <x:c r="L255" s="13" t="n">
        <x:v>0</x:v>
      </x:c>
      <x:c r="M255" s="13" t="n">
        <x:v>0</x:v>
      </x:c>
      <x:c r="N255" s="13" t="n">
        <x:v>0</x:v>
      </x:c>
      <x:c r="O255" s="13" t="n">
        <x:v>0</x:v>
      </x:c>
      <x:c r="P255" s="13" t="n">
        <x:v>0</x:v>
      </x:c>
      <x:c r="Q255" s="13" t="n">
        <x:v>0</x:v>
      </x:c>
      <x:c r="R255" s="15" t="n">
        <x:v>0.86115998036179</x:v>
      </x:c>
      <x:c r="S255" s="17" t="n">
        <x:v>367.845552809897</x:v>
      </x:c>
      <x:c r="T255" s="17" t="n">
        <x:v>373.5492975822689</x:v>
      </x:c>
      <x:c r="U255" s="23" t="b">
        <x:v>0</x:v>
      </x:c>
    </x:row>
    <x:row r="256" ht="22" customHeight="1">
      <x:c r="A256" s="7" t="str">
        <x:v>G zero</x:v>
      </x:c>
      <x:c r="B256" s="9" t="n">
        <x:v>2</x:v>
      </x:c>
      <x:c r="C256" s="7" t="str">
        <x:v>Pericytes</x:v>
      </x:c>
      <x:c r="D256" s="11" t="n">
        <x:v>179</x:v>
      </x:c>
      <x:c r="E256" s="22" t="n">
        <x:v>0.007994283417444</x:v>
      </x:c>
      <x:c r="F256" s="23" t="b">
        <x:v>1</x:v>
      </x:c>
      <x:c r="G256" s="11" t="n">
        <x:v>25</x:v>
      </x:c>
      <x:c r="H256" s="11" t="n">
        <x:v>44</x:v>
      </x:c>
      <x:c r="I256" s="13" t="n">
        <x:v>0.004218697266284</x:v>
      </x:c>
      <x:c r="J256" s="13" t="n">
        <x:v>0.007746478873239</x:v>
      </x:c>
      <x:c r="K256" s="17" t="n">
        <x:v>0.352778160695526</x:v>
      </x:c>
      <x:c r="L256" s="13" t="n">
        <x:v>0.04</x:v>
      </x:c>
      <x:c r="M256" s="13" t="n">
        <x:v>0.24</x:v>
      </x:c>
      <x:c r="N256" s="13" t="n">
        <x:v>0.36</x:v>
      </x:c>
      <x:c r="O256" s="13" t="n">
        <x:v>0.022727272727273</x:v>
      </x:c>
      <x:c r="P256" s="13" t="n">
        <x:v>0.090909090909091</x:v>
      </x:c>
      <x:c r="Q256" s="13" t="n">
        <x:v>0.159090909090909</x:v>
      </x:c>
      <x:c r="R256" s="15" t="n">
        <x:v>0.975553614467676</x:v>
      </x:c>
      <x:c r="S256" s="17" t="n">
        <x:v>131.33959745211345</x:v>
      </x:c>
      <x:c r="T256" s="17" t="n">
        <x:v>226.95437787472184</x:v>
      </x:c>
      <x:c r="U256" s="23" t="b">
        <x:v>0</x:v>
      </x:c>
    </x:row>
    <x:row r="257" ht="22" customHeight="1">
      <x:c r="A257" s="7" t="str">
        <x:v>G zero</x:v>
      </x:c>
      <x:c r="B257" s="9" t="n">
        <x:v>3</x:v>
      </x:c>
      <x:c r="C257" s="7" t="str">
        <x:v>Astrocyte</x:v>
      </x:c>
      <x:c r="D257" s="11" t="n">
        <x:v>2742</x:v>
      </x:c>
      <x:c r="E257" s="22" t="n">
        <x:v>0.121790885671138</x:v>
      </x:c>
      <x:c r="F257" s="23" t="b">
        <x:v>0</x:v>
      </x:c>
      <x:c r="G257" s="11" t="n">
        <x:v>664</x:v>
      </x:c>
      <x:c r="H257" s="11" t="n">
        <x:v>709</x:v>
      </x:c>
      <x:c r="I257" s="13" t="n">
        <x:v>0.114423574013441</x:v>
      </x:c>
      <x:c r="J257" s="13" t="n">
        <x:v>0.123626852659111</x:v>
      </x:c>
      <x:c r="K257" s="17" t="n">
        <x:v>0.92032786456694</x:v>
      </x:c>
      <x:c r="L257" s="13" t="n">
        <x:v>0.328313253012048</x:v>
      </x:c>
      <x:c r="M257" s="13" t="n">
        <x:v>0.80421686746988</x:v>
      </x:c>
      <x:c r="N257" s="13" t="n">
        <x:v>0.996987951807229</x:v>
      </x:c>
      <x:c r="O257" s="13" t="n">
        <x:v>0.346967559943582</x:v>
      </x:c>
      <x:c r="P257" s="13" t="n">
        <x:v>0.784203102961918</x:v>
      </x:c>
      <x:c r="Q257" s="13" t="n">
        <x:v>0.998589562764457</x:v>
      </x:c>
      <x:c r="R257" s="15" t="n">
        <x:v>0.995921227297373</x:v>
      </x:c>
      <x:c r="S257" s="17" t="n">
        <x:v>34.986467583347014</x:v>
      </x:c>
      <x:c r="T257" s="17" t="n">
        <x:v>35.05560822532482</x:v>
      </x:c>
      <x:c r="U257" s="23" t="b">
        <x:v>0</x:v>
      </x:c>
    </x:row>
    <x:row r="258" ht="22" customHeight="1">
      <x:c r="A258" s="7" t="str">
        <x:v>G zero</x:v>
      </x:c>
      <x:c r="B258" s="9" t="n">
        <x:v>3</x:v>
      </x:c>
      <x:c r="C258" s="7" t="str">
        <x:v>Endothelial 1</x:v>
      </x:c>
      <x:c r="D258" s="11" t="n">
        <x:v>1176</x:v>
      </x:c>
      <x:c r="E258" s="22" t="n">
        <x:v>0.05223416540819</x:v>
      </x:c>
      <x:c r="F258" s="23" t="b">
        <x:v>0</x:v>
      </x:c>
      <x:c r="G258" s="11" t="n">
        <x:v>304</x:v>
      </x:c>
      <x:c r="H258" s="11" t="n">
        <x:v>296</x:v>
      </x:c>
      <x:c r="I258" s="13" t="n">
        <x:v>0.052386696536274</x:v>
      </x:c>
      <x:c r="J258" s="13" t="n">
        <x:v>0.051612903225806</x:v>
      </x:c>
      <x:c r="K258" s="17" t="n">
        <x:v>-0.077379331046789</x:v>
      </x:c>
      <x:c r="L258" s="13" t="n">
        <x:v>0.118421052631579</x:v>
      </x:c>
      <x:c r="M258" s="13" t="n">
        <x:v>0.447368421052632</x:v>
      </x:c>
      <x:c r="N258" s="13" t="n">
        <x:v>0.87828947368421</x:v>
      </x:c>
      <x:c r="O258" s="13" t="n">
        <x:v>0.162162162162162</x:v>
      </x:c>
      <x:c r="P258" s="13" t="n">
        <x:v>0.489864864864865</x:v>
      </x:c>
      <x:c r="Q258" s="13" t="n">
        <x:v>0.905405405405405</x:v>
      </x:c>
      <x:c r="R258" s="15" t="n">
        <x:v>0.995207174389435</x:v>
      </x:c>
      <x:c r="S258" s="17" t="n">
        <x:v>59.752756804034334</x:v>
      </x:c>
      <x:c r="T258" s="17" t="n">
        <x:v>54.904074655230765</x:v>
      </x:c>
      <x:c r="U258" s="23" t="b">
        <x:v>0</x:v>
      </x:c>
    </x:row>
    <x:row r="259" ht="22" customHeight="1">
      <x:c r="A259" s="7" t="str">
        <x:v>G zero</x:v>
      </x:c>
      <x:c r="B259" s="9" t="n">
        <x:v>3</x:v>
      </x:c>
      <x:c r="C259" s="7" t="str">
        <x:v>Endothelial 2</x:v>
      </x:c>
      <x:c r="D259" s="11" t="n">
        <x:v>117</x:v>
      </x:c>
      <x:c r="E259" s="22" t="n">
        <x:v>0.005196766456427</x:v>
      </x:c>
      <x:c r="F259" s="23" t="b">
        <x:v>1</x:v>
      </x:c>
      <x:c r="G259" s="11" t="n">
        <x:v>27</x:v>
      </x:c>
      <x:c r="H259" s="11" t="n">
        <x:v>18</x:v>
      </x:c>
      <x:c r="I259" s="13" t="n">
        <x:v>0.004652765810788</x:v>
      </x:c>
      <x:c r="J259" s="13" t="n">
        <x:v>0.003138622493461</x:v>
      </x:c>
      <x:c r="K259" s="17" t="n">
        <x:v>-0.151414331732632</x:v>
      </x:c>
      <x:c r="L259" s="13" t="n">
        <x:v>0.037037037037037</x:v>
      </x:c>
      <x:c r="M259" s="13" t="n">
        <x:v>0.074074074074074</x:v>
      </x:c>
      <x:c r="N259" s="13" t="n">
        <x:v>0.222222222222222</x:v>
      </x:c>
      <x:c r="O259" s="13" t="n">
        <x:v>0.055555555555556</x:v>
      </x:c>
      <x:c r="P259" s="13" t="n">
        <x:v>0.111111111111111</x:v>
      </x:c>
      <x:c r="Q259" s="13" t="n">
        <x:v>0.333333333333333</x:v>
      </x:c>
      <x:c r="R259" s="15" t="n">
        <x:v>0.914734887725858</x:v>
      </x:c>
      <x:c r="S259" s="17" t="n">
        <x:v>275.6883215627953</x:v>
      </x:c>
      <x:c r="T259" s="17" t="n">
        <x:v>171.53378545057146</x:v>
      </x:c>
      <x:c r="U259" s="23" t="b">
        <x:v>0</x:v>
      </x:c>
    </x:row>
    <x:row r="260" ht="22" customHeight="1">
      <x:c r="A260" s="7" t="str">
        <x:v>G zero</x:v>
      </x:c>
      <x:c r="B260" s="9" t="n">
        <x:v>3</x:v>
      </x:c>
      <x:c r="C260" s="7" t="str">
        <x:v>Endothelial 3</x:v>
      </x:c>
      <x:c r="D260" s="11" t="n">
        <x:v>455</x:v>
      </x:c>
      <x:c r="E260" s="22" t="n">
        <x:v>0.02020964733055</x:v>
      </x:c>
      <x:c r="F260" s="23" t="b">
        <x:v>1</x:v>
      </x:c>
      <x:c r="G260" s="11" t="n">
        <x:v>94</x:v>
      </x:c>
      <x:c r="H260" s="11" t="n">
        <x:v>112</x:v>
      </x:c>
      <x:c r="I260" s="13" t="n">
        <x:v>0.016198518007927</x:v>
      </x:c>
      <x:c r="J260" s="13" t="n">
        <x:v>0.019529206625981</x:v>
      </x:c>
      <x:c r="K260" s="17" t="n">
        <x:v>0.333068861805388</x:v>
      </x:c>
      <x:c r="L260" s="13" t="n">
        <x:v>0.031914893617021</x:v>
      </x:c>
      <x:c r="M260" s="13" t="n">
        <x:v>0.212765957446808</x:v>
      </x:c>
      <x:c r="N260" s="13" t="n">
        <x:v>0.595744680851064</x:v>
      </x:c>
      <x:c r="O260" s="13" t="n">
        <x:v>0.035714285714286</x:v>
      </x:c>
      <x:c r="P260" s="13" t="n">
        <x:v>0.241071428571428</x:v>
      </x:c>
      <x:c r="Q260" s="13" t="n">
        <x:v>0.696428571428571</x:v>
      </x:c>
      <x:c r="R260" s="15" t="n">
        <x:v>0.987811239932602</x:v>
      </x:c>
      <x:c r="S260" s="17" t="n">
        <x:v>91.16546523405944</x:v>
      </x:c>
      <x:c r="T260" s="17" t="n">
        <x:v>87.36949336344735</x:v>
      </x:c>
      <x:c r="U260" s="23" t="b">
        <x:v>0</x:v>
      </x:c>
    </x:row>
    <x:row r="261" ht="22" customHeight="1">
      <x:c r="A261" s="7" t="str">
        <x:v>G zero</x:v>
      </x:c>
      <x:c r="B261" s="9" t="n">
        <x:v>3</x:v>
      </x:c>
      <x:c r="C261" s="7" t="str">
        <x:v>Ependymal</x:v>
      </x:c>
      <x:c r="D261" s="11" t="n">
        <x:v>1055</x:v>
      </x:c>
      <x:c r="E261" s="22" t="n">
        <x:v>0.046859731722484</x:v>
      </x:c>
      <x:c r="F261" s="23" t="b">
        <x:v>1</x:v>
      </x:c>
      <x:c r="G261" s="11" t="n">
        <x:v>232</x:v>
      </x:c>
      <x:c r="H261" s="11" t="n">
        <x:v>246</x:v>
      </x:c>
      <x:c r="I261" s="13" t="n">
        <x:v>0.039979321040841</x:v>
      </x:c>
      <x:c r="J261" s="13" t="n">
        <x:v>0.042894507410636</x:v>
      </x:c>
      <x:c r="K261" s="17" t="n">
        <x:v>0.291518636979549</x:v>
      </x:c>
      <x:c r="L261" s="13" t="n">
        <x:v>0.870689655172414</x:v>
      </x:c>
      <x:c r="M261" s="13" t="n">
        <x:v>0.987068965517241</x:v>
      </x:c>
      <x:c r="N261" s="13" t="n">
        <x:v>1</x:v>
      </x:c>
      <x:c r="O261" s="13" t="n">
        <x:v>0.75609756097561</x:v>
      </x:c>
      <x:c r="P261" s="13" t="n">
        <x:v>0.934959349593496</x:v>
      </x:c>
      <x:c r="Q261" s="13" t="n">
        <x:v>1</x:v>
      </x:c>
      <x:c r="R261" s="15" t="n">
        <x:v>0.994461972804069</x:v>
      </x:c>
      <x:c r="S261" s="17" t="n">
        <x:v>13.8298934907138</x:v>
      </x:c>
      <x:c r="T261" s="17" t="n">
        <x:v>18.07281371465272</x:v>
      </x:c>
      <x:c r="U261" s="23" t="b">
        <x:v>0</x:v>
      </x:c>
    </x:row>
    <x:row r="262" ht="22" customHeight="1">
      <x:c r="A262" s="7" t="str">
        <x:v>G zero</x:v>
      </x:c>
      <x:c r="B262" s="9" t="n">
        <x:v>3</x:v>
      </x:c>
      <x:c r="C262" s="7" t="str">
        <x:v>Excitatory</x:v>
      </x:c>
      <x:c r="D262" s="11" t="n">
        <x:v>4593</x:v>
      </x:c>
      <x:c r="E262" s="22" t="n">
        <x:v>0.204006396020254</x:v>
      </x:c>
      <x:c r="F262" s="23" t="b">
        <x:v>0</x:v>
      </x:c>
      <x:c r="G262" s="11" t="n">
        <x:v>1194</x:v>
      </x:c>
      <x:c r="H262" s="11" t="n">
        <x:v>1217</x:v>
      </x:c>
      <x:c r="I262" s="13" t="n">
        <x:v>0.205755643632604</x:v>
      </x:c>
      <x:c r="J262" s="13" t="n">
        <x:v>0.212205754141238</x:v>
      </x:c>
      <x:c r="K262" s="17" t="n">
        <x:v>0.64501105086342</x:v>
      </x:c>
      <x:c r="L262" s="13" t="n">
        <x:v>0.562814070351759</x:v>
      </x:c>
      <x:c r="M262" s="13" t="n">
        <x:v>0.917922948073702</x:v>
      </x:c>
      <x:c r="N262" s="13" t="n">
        <x:v>1</x:v>
      </x:c>
      <x:c r="O262" s="13" t="n">
        <x:v>0.588331963845522</x:v>
      </x:c>
      <x:c r="P262" s="13" t="n">
        <x:v>0.912078882497946</x:v>
      </x:c>
      <x:c r="Q262" s="13" t="n">
        <x:v>1</x:v>
      </x:c>
      <x:c r="R262" s="15" t="n">
        <x:v>0.994339646759179</x:v>
      </x:c>
      <x:c r="S262" s="17" t="n">
        <x:v>26.252270471789394</x:v>
      </x:c>
      <x:c r="T262" s="17" t="n">
        <x:v>25.447890333422475</x:v>
      </x:c>
      <x:c r="U262" s="23" t="b">
        <x:v>0</x:v>
      </x:c>
    </x:row>
    <x:row r="263" ht="22" customHeight="1">
      <x:c r="A263" s="7" t="str">
        <x:v>G zero</x:v>
      </x:c>
      <x:c r="B263" s="9" t="n">
        <x:v>3</x:v>
      </x:c>
      <x:c r="C263" s="7" t="str">
        <x:v>Inhibitory</x:v>
      </x:c>
      <x:c r="D263" s="11" t="n">
        <x:v>9762</x:v>
      </x:c>
      <x:c r="E263" s="22" t="n">
        <x:v>0.433596873056765</x:v>
      </x:c>
      <x:c r="F263" s="23" t="b">
        <x:v>0</x:v>
      </x:c>
      <x:c r="G263" s="11" t="n">
        <x:v>2607</x:v>
      </x:c>
      <x:c r="H263" s="11" t="n">
        <x:v>2469</x:v>
      </x:c>
      <x:c r="I263" s="13" t="n">
        <x:v>0.449250387730484</x:v>
      </x:c>
      <x:c r="J263" s="13" t="n">
        <x:v>0.430514385353095</x:v>
      </x:c>
      <x:c r="K263" s="17" t="n">
        <x:v>-1.87360023773892</x:v>
      </x:c>
      <x:c r="L263" s="13" t="n">
        <x:v>0.773686229382432</x:v>
      </x:c>
      <x:c r="M263" s="13" t="n">
        <x:v>0.98542385884158</x:v>
      </x:c>
      <x:c r="N263" s="13" t="n">
        <x:v>0.998849252013809</x:v>
      </x:c>
      <x:c r="O263" s="13" t="n">
        <x:v>0.839206156338599</x:v>
      </x:c>
      <x:c r="P263" s="13" t="n">
        <x:v>0.975293641150263</x:v>
      </x:c>
      <x:c r="Q263" s="13" t="n">
        <x:v>0.994734710409072</x:v>
      </x:c>
      <x:c r="R263" s="15" t="n">
        <x:v>0.995142194318486</x:v>
      </x:c>
      <x:c r="S263" s="17" t="n">
        <x:v>18.4188284999442</x:v>
      </x:c>
      <x:c r="T263" s="17" t="n">
        <x:v>17.012412644027663</x:v>
      </x:c>
      <x:c r="U263" s="23" t="b">
        <x:v>0</x:v>
      </x:c>
    </x:row>
    <x:row r="264" ht="22" customHeight="1">
      <x:c r="A264" s="7" t="str">
        <x:v>G zero</x:v>
      </x:c>
      <x:c r="B264" s="9" t="n">
        <x:v>3</x:v>
      </x:c>
      <x:c r="C264" s="7" t="str">
        <x:v>Microglia</x:v>
      </x:c>
      <x:c r="D264" s="11" t="n">
        <x:v>473</x:v>
      </x:c>
      <x:c r="E264" s="22" t="n">
        <x:v>0.021009149862308</x:v>
      </x:c>
      <x:c r="F264" s="23" t="b">
        <x:v>1</x:v>
      </x:c>
      <x:c r="G264" s="11" t="n">
        <x:v>121</x:v>
      </x:c>
      <x:c r="H264" s="11" t="n">
        <x:v>122</x:v>
      </x:c>
      <x:c r="I264" s="13" t="n">
        <x:v>0.020851283818714</x:v>
      </x:c>
      <x:c r="J264" s="13" t="n">
        <x:v>0.021272885789015</x:v>
      </x:c>
      <x:c r="K264" s="17" t="n">
        <x:v>0.042160197030036</x:v>
      </x:c>
      <x:c r="L264" s="13" t="n">
        <x:v>0.033057851239669</x:v>
      </x:c>
      <x:c r="M264" s="13" t="n">
        <x:v>0.148760330578512</x:v>
      </x:c>
      <x:c r="N264" s="13" t="n">
        <x:v>0.578512396694215</x:v>
      </x:c>
      <x:c r="O264" s="13" t="n">
        <x:v>0.040983606557377</x:v>
      </x:c>
      <x:c r="P264" s="13" t="n">
        <x:v>0.19672131147541</x:v>
      </x:c>
      <x:c r="Q264" s="13" t="n">
        <x:v>0.737704918032787</x:v>
      </x:c>
      <x:c r="R264" s="15" t="n">
        <x:v>0.985880755240784</x:v>
      </x:c>
      <x:c r="S264" s="17" t="n">
        <x:v>97.53307938582375</x:v>
      </x:c>
      <x:c r="T264" s="17" t="n">
        <x:v>82.38843181540497</x:v>
      </x:c>
      <x:c r="U264" s="23" t="b">
        <x:v>0</x:v>
      </x:c>
    </x:row>
    <x:row r="265" ht="22" customHeight="1">
      <x:c r="A265" s="7" t="str">
        <x:v>G zero</x:v>
      </x:c>
      <x:c r="B265" s="9" t="n">
        <x:v>3</x:v>
      </x:c>
      <x:c r="C265" s="7" t="str">
        <x:v>OD Immature 1</x:v>
      </x:c>
      <x:c r="D265" s="11" t="n">
        <x:v>814</x:v>
      </x:c>
      <x:c r="E265" s="22" t="n">
        <x:v>0.03615528115839</x:v>
      </x:c>
      <x:c r="F265" s="23" t="b">
        <x:v>1</x:v>
      </x:c>
      <x:c r="G265" s="11" t="n">
        <x:v>198</x:v>
      </x:c>
      <x:c r="H265" s="11" t="n">
        <x:v>206</x:v>
      </x:c>
      <x:c r="I265" s="13" t="n">
        <x:v>0.034120282612442</x:v>
      </x:c>
      <x:c r="J265" s="13" t="n">
        <x:v>0.0359197907585</x:v>
      </x:c>
      <x:c r="K265" s="17" t="n">
        <x:v>0.179950814605859</x:v>
      </x:c>
      <x:c r="L265" s="13" t="n">
        <x:v>0.106060606060606</x:v>
      </x:c>
      <x:c r="M265" s="13" t="n">
        <x:v>0.373737373737374</x:v>
      </x:c>
      <x:c r="N265" s="13" t="n">
        <x:v>0.838383838383838</x:v>
      </x:c>
      <x:c r="O265" s="13" t="n">
        <x:v>0.111650485436893</x:v>
      </x:c>
      <x:c r="P265" s="13" t="n">
        <x:v>0.398058252427184</x:v>
      </x:c>
      <x:c r="Q265" s="13" t="n">
        <x:v>0.888349514563107</x:v>
      </x:c>
      <x:c r="R265" s="15" t="n">
        <x:v>0.99272784497854</x:v>
      </x:c>
      <x:c r="S265" s="17" t="n">
        <x:v>64.56002398693717</x:v>
      </x:c>
      <x:c r="T265" s="17" t="n">
        <x:v>61.78390125862727</x:v>
      </x:c>
      <x:c r="U265" s="23" t="b">
        <x:v>0</x:v>
      </x:c>
    </x:row>
    <x:row r="266" ht="22" customHeight="1">
      <x:c r="A266" s="7" t="str">
        <x:v>G zero</x:v>
      </x:c>
      <x:c r="B266" s="9" t="n">
        <x:v>3</x:v>
      </x:c>
      <x:c r="C266" s="7" t="str">
        <x:v>OD Immature 2</x:v>
      </x:c>
      <x:c r="D266" s="11" t="n">
        <x:v>26</x:v>
      </x:c>
      <x:c r="E266" s="22" t="n">
        <x:v>0.001154836990317</x:v>
      </x:c>
      <x:c r="F266" s="23" t="b">
        <x:v>1</x:v>
      </x:c>
      <x:c r="G266" s="11" t="n">
        <x:v>7</x:v>
      </x:c>
      <x:c r="H266" s="11" t="n">
        <x:v>6</x:v>
      </x:c>
      <x:c r="I266" s="13" t="n">
        <x:v>0.001206272617612</x:v>
      </x:c>
      <x:c r="J266" s="13" t="n">
        <x:v>0.00104620749782</x:v>
      </x:c>
      <x:c r="K266" s="17" t="n">
        <x:v>-0.016006511979118</x:v>
      </x:c>
      <x:c r="L266" s="13" t="n">
        <x:v>0</x:v>
      </x:c>
      <x:c r="M266" s="13" t="n">
        <x:v>0</x:v>
      </x:c>
      <x:c r="N266" s="13" t="n">
        <x:v>0</x:v>
      </x:c>
      <x:c r="O266" s="13" t="n">
        <x:v>0</x:v>
      </x:c>
      <x:c r="P266" s="13" t="n">
        <x:v>0</x:v>
      </x:c>
      <x:c r="Q266" s="13" t="n">
        <x:v>0</x:v>
      </x:c>
      <x:c r="R266" s="15" t="n">
        <x:v>0.738194855005663</x:v>
      </x:c>
      <x:c r="S266" s="17" t="n">
        <x:v>357.62113993616924</x:v>
      </x:c>
      <x:c r="T266" s="17" t="n">
        <x:v>318.6987574565317</x:v>
      </x:c>
      <x:c r="U266" s="23" t="b">
        <x:v>0</x:v>
      </x:c>
    </x:row>
    <x:row r="267" ht="22" customHeight="1">
      <x:c r="A267" s="7" t="str">
        <x:v>G zero</x:v>
      </x:c>
      <x:c r="B267" s="9" t="n">
        <x:v>3</x:v>
      </x:c>
      <x:c r="C267" s="7" t="str">
        <x:v>OD Mature 1</x:v>
      </x:c>
      <x:c r="D267" s="11" t="n">
        <x:v>192</x:v>
      </x:c>
      <x:c r="E267" s="22" t="n">
        <x:v>0.008528027005419</x:v>
      </x:c>
      <x:c r="F267" s="23" t="b">
        <x:v>1</x:v>
      </x:c>
      <x:c r="G267" s="11" t="n">
        <x:v>46</x:v>
      </x:c>
      <x:c r="H267" s="11" t="n">
        <x:v>46</x:v>
      </x:c>
      <x:c r="I267" s="13" t="n">
        <x:v>0.007926934344305</x:v>
      </x:c>
      <x:c r="J267" s="13" t="n">
        <x:v>0.008020924149956</x:v>
      </x:c>
      <x:c r="K267" s="17" t="n">
        <x:v>0.009398980565174</x:v>
      </x:c>
      <x:c r="L267" s="13" t="n">
        <x:v>0.043478260869565</x:v>
      </x:c>
      <x:c r="M267" s="13" t="n">
        <x:v>0.239130434782609</x:v>
      </x:c>
      <x:c r="N267" s="13" t="n">
        <x:v>0.565217391304348</x:v>
      </x:c>
      <x:c r="O267" s="13" t="n">
        <x:v>0.065217391304348</x:v>
      </x:c>
      <x:c r="P267" s="13" t="n">
        <x:v>0.282608695652174</x:v>
      </x:c>
      <x:c r="Q267" s="13" t="n">
        <x:v>0.521739130434783</x:v>
      </x:c>
      <x:c r="R267" s="15" t="n">
        <x:v>0.990356653063363</x:v>
      </x:c>
      <x:c r="S267" s="17" t="n">
        <x:v>101.992464128998</x:v>
      </x:c>
      <x:c r="T267" s="17" t="n">
        <x:v>110.12719680242206</x:v>
      </x:c>
      <x:c r="U267" s="23" t="b">
        <x:v>0</x:v>
      </x:c>
    </x:row>
    <x:row r="268" ht="22" customHeight="1">
      <x:c r="A268" s="7" t="str">
        <x:v>G zero</x:v>
      </x:c>
      <x:c r="B268" s="9" t="n">
        <x:v>3</x:v>
      </x:c>
      <x:c r="C268" s="7" t="str">
        <x:v>OD Mature 2</x:v>
      </x:c>
      <x:c r="D268" s="11" t="n">
        <x:v>907</x:v>
      </x:c>
      <x:c r="E268" s="22" t="n">
        <x:v>0.04028604423914</x:v>
      </x:c>
      <x:c r="F268" s="23" t="b">
        <x:v>1</x:v>
      </x:c>
      <x:c r="G268" s="11" t="n">
        <x:v>246</x:v>
      </x:c>
      <x:c r="H268" s="11" t="n">
        <x:v>230</x:v>
      </x:c>
      <x:c r="I268" s="13" t="n">
        <x:v>0.042391866276064</x:v>
      </x:c>
      <x:c r="J268" s="13" t="n">
        <x:v>0.040104620749782</x:v>
      </x:c>
      <x:c r="K268" s="17" t="n">
        <x:v>-0.228724552628206</x:v>
      </x:c>
      <x:c r="L268" s="13" t="n">
        <x:v>0.296747967479675</x:v>
      </x:c>
      <x:c r="M268" s="13" t="n">
        <x:v>0.609756097560976</x:v>
      </x:c>
      <x:c r="N268" s="13" t="n">
        <x:v>0.83739837398374</x:v>
      </x:c>
      <x:c r="O268" s="13" t="n">
        <x:v>0.326086956521739</x:v>
      </x:c>
      <x:c r="P268" s="13" t="n">
        <x:v>0.621739130434783</x:v>
      </x:c>
      <x:c r="Q268" s="13" t="n">
        <x:v>0.939130434782609</x:v>
      </x:c>
      <x:c r="R268" s="15" t="n">
        <x:v>0.997523889714378</x:v>
      </x:c>
      <x:c r="S268" s="17" t="n">
        <x:v>56.935257702865634</x:v>
      </x:c>
      <x:c r="T268" s="17" t="n">
        <x:v>46.521013432303086</x:v>
      </x:c>
      <x:c r="U268" s="23" t="b">
        <x:v>0</x:v>
      </x:c>
    </x:row>
    <x:row r="269" ht="22" customHeight="1">
      <x:c r="A269" s="7" t="str">
        <x:v>G zero</x:v>
      </x:c>
      <x:c r="B269" s="9" t="n">
        <x:v>3</x:v>
      </x:c>
      <x:c r="C269" s="7" t="str">
        <x:v>OD Mature 3</x:v>
      </x:c>
      <x:c r="D269" s="11" t="n">
        <x:v>11</x:v>
      </x:c>
      <x:c r="E269" s="22" t="n">
        <x:v>0.000488584880519</x:v>
      </x:c>
      <x:c r="F269" s="23" t="b">
        <x:v>1</x:v>
      </x:c>
      <x:c r="G269" s="11" t="n">
        <x:v>3</x:v>
      </x:c>
      <x:c r="H269" s="11" t="n">
        <x:v>4</x:v>
      </x:c>
      <x:c r="I269" s="13" t="n">
        <x:v>0.000516973978976</x:v>
      </x:c>
      <x:c r="J269" s="13" t="n">
        <x:v>0.000697471665214</x:v>
      </x:c>
      <x:c r="K269" s="17" t="n">
        <x:v>0.018049768623721</x:v>
      </x:c>
      <x:c r="L269" s="13" t="n">
        <x:v>0</x:v>
      </x:c>
      <x:c r="M269" s="13" t="n">
        <x:v>0</x:v>
      </x:c>
      <x:c r="N269" s="13" t="n">
        <x:v>0</x:v>
      </x:c>
      <x:c r="O269" s="13" t="n">
        <x:v>0</x:v>
      </x:c>
      <x:c r="P269" s="13" t="n">
        <x:v>0</x:v>
      </x:c>
      <x:c r="Q269" s="13" t="n">
        <x:v>0</x:v>
      </x:c>
      <x:c r="R269" s="15" t="n">
        <x:v>0.870537295234476</x:v>
      </x:c>
      <x:c r="S269" s="17" t="n">
        <x:v>675.0092507177918</x:v>
      </x:c>
      <x:c r="T269" s="17" t="n">
        <x:v>591.2796198187673</x:v>
      </x:c>
      <x:c r="U269" s="23" t="b">
        <x:v>0</x:v>
      </x:c>
    </x:row>
    <x:row r="270" ht="22" customHeight="1">
      <x:c r="A270" s="7" t="str">
        <x:v>G zero</x:v>
      </x:c>
      <x:c r="B270" s="9" t="n">
        <x:v>3</x:v>
      </x:c>
      <x:c r="C270" s="7" t="str">
        <x:v>OD Mature 4</x:v>
      </x:c>
      <x:c r="D270" s="11" t="n">
        <x:v>39</x:v>
      </x:c>
      <x:c r="E270" s="22" t="n">
        <x:v>0.001732255485476</x:v>
      </x:c>
      <x:c r="F270" s="23" t="b">
        <x:v>1</x:v>
      </x:c>
      <x:c r="G270" s="11" t="n">
        <x:v>8</x:v>
      </x:c>
      <x:c r="H270" s="11" t="n">
        <x:v>10</x:v>
      </x:c>
      <x:c r="I270" s="13" t="n">
        <x:v>0.00137859727727</x:v>
      </x:c>
      <x:c r="J270" s="13" t="n">
        <x:v>0.001743679163034</x:v>
      </x:c>
      <x:c r="K270" s="17" t="n">
        <x:v>0.036508188576362</x:v>
      </x:c>
      <x:c r="L270" s="13" t="n">
        <x:v>0</x:v>
      </x:c>
      <x:c r="M270" s="13" t="n">
        <x:v>0.25</x:v>
      </x:c>
      <x:c r="N270" s="13" t="n">
        <x:v>0.625</x:v>
      </x:c>
      <x:c r="O270" s="13" t="n">
        <x:v>0</x:v>
      </x:c>
      <x:c r="P270" s="13" t="n">
        <x:v>0.3</x:v>
      </x:c>
      <x:c r="Q270" s="13" t="n">
        <x:v>0.3</x:v>
      </x:c>
      <x:c r="R270" s="15" t="n">
        <x:v>0.963853935345696</x:v>
      </x:c>
      <x:c r="S270" s="17" t="n">
        <x:v>500.9620905061113</x:v>
      </x:c>
      <x:c r="T270" s="17" t="n">
        <x:v>365.4169555371609</x:v>
      </x:c>
      <x:c r="U270" s="23" t="b">
        <x:v>0</x:v>
      </x:c>
    </x:row>
    <x:row r="271" ht="22" customHeight="1">
      <x:c r="A271" s="7" t="str">
        <x:v>G zero</x:v>
      </x:c>
      <x:c r="B271" s="9" t="n">
        <x:v>3</x:v>
      </x:c>
      <x:c r="C271" s="7" t="str">
        <x:v>Pericytes</x:v>
      </x:c>
      <x:c r="D271" s="11" t="n">
        <x:v>152</x:v>
      </x:c>
      <x:c r="E271" s="22" t="n">
        <x:v>0.006751354712623</x:v>
      </x:c>
      <x:c r="F271" s="23" t="b">
        <x:v>1</x:v>
      </x:c>
      <x:c r="G271" s="11" t="n">
        <x:v>52</x:v>
      </x:c>
      <x:c r="H271" s="11" t="n">
        <x:v>44</x:v>
      </x:c>
      <x:c r="I271" s="13" t="n">
        <x:v>0.008960882302257</x:v>
      </x:c>
      <x:c r="J271" s="13" t="n">
        <x:v>0.00767218831735</x:v>
      </x:c>
      <x:c r="K271" s="17" t="n">
        <x:v>-0.128869398490784</x:v>
      </x:c>
      <x:c r="L271" s="13" t="n">
        <x:v>0.076923076923077</x:v>
      </x:c>
      <x:c r="M271" s="13" t="n">
        <x:v>0.346153846153846</x:v>
      </x:c>
      <x:c r="N271" s="13" t="n">
        <x:v>0.75</x:v>
      </x:c>
      <x:c r="O271" s="13" t="n">
        <x:v>0.045454545454545</x:v>
      </x:c>
      <x:c r="P271" s="13" t="n">
        <x:v>0.25</x:v>
      </x:c>
      <x:c r="Q271" s="13" t="n">
        <x:v>0.431818181818182</x:v>
      </x:c>
      <x:c r="R271" s="15" t="n">
        <x:v>0.94719303821178</x:v>
      </x:c>
      <x:c r="S271" s="17" t="n">
        <x:v>118.97298629270972</x:v>
      </x:c>
      <x:c r="T271" s="17" t="n">
        <x:v>149.37413323539187</x:v>
      </x:c>
      <x:c r="U271" s="23" t="b">
        <x:v>0</x:v>
      </x:c>
    </x:row>
    <x:row r="272" ht="22" customHeight="1">
      <x:c r="A272" s="7" t="str">
        <x:v>G shuffle</x:v>
      </x:c>
      <x:c r="B272" s="9" t="n">
        <x:v>1</x:v>
      </x:c>
      <x:c r="C272" s="7" t="str">
        <x:v>Astrocyte</x:v>
      </x:c>
      <x:c r="D272" s="11" t="n">
        <x:v>2772</x:v>
      </x:c>
      <x:c r="E272" s="22" t="n">
        <x:v>0.121792618629174</x:v>
      </x:c>
      <x:c r="F272" s="23" t="b">
        <x:v>0</x:v>
      </x:c>
      <x:c r="G272" s="11" t="n">
        <x:v>634</x:v>
      </x:c>
      <x:c r="H272" s="11" t="n">
        <x:v>683</x:v>
      </x:c>
      <x:c r="I272" s="13" t="n">
        <x:v>0.114090336512507</x:v>
      </x:c>
      <x:c r="J272" s="13" t="n">
        <x:v>0.11967758892588</x:v>
      </x:c>
      <x:c r="K272" s="17" t="n">
        <x:v>0.558725241337375</x:v>
      </x:c>
      <x:c r="L272" s="13" t="n">
        <x:v>0.287066246056782</x:v>
      </x:c>
      <x:c r="M272" s="13" t="n">
        <x:v>0.752365930599369</x:v>
      </x:c>
      <x:c r="N272" s="13" t="n">
        <x:v>0.995268138801262</x:v>
      </x:c>
      <x:c r="O272" s="13" t="n">
        <x:v>0.316251830161054</x:v>
      </x:c>
      <x:c r="P272" s="13" t="n">
        <x:v>0.786237188872621</x:v>
      </x:c>
      <x:c r="Q272" s="13" t="n">
        <x:v>0.998535871156662</x:v>
      </x:c>
      <x:c r="R272" s="15" t="n">
        <x:v>0.997320172172314</x:v>
      </x:c>
      <x:c r="S272" s="17" t="n">
        <x:v>38.26875901984386</x:v>
      </x:c>
      <x:c r="T272" s="17" t="n">
        <x:v>35.835545385443226</x:v>
      </x:c>
      <x:c r="U272" s="23" t="b">
        <x:v>0</x:v>
      </x:c>
    </x:row>
    <x:row r="273" ht="22" customHeight="1">
      <x:c r="A273" s="7" t="str">
        <x:v>G shuffle</x:v>
      </x:c>
      <x:c r="B273" s="9" t="n">
        <x:v>1</x:v>
      </x:c>
      <x:c r="C273" s="7" t="str">
        <x:v>Endothelial 1</x:v>
      </x:c>
      <x:c r="D273" s="11" t="n">
        <x:v>1209</x:v>
      </x:c>
      <x:c r="E273" s="22" t="n">
        <x:v>0.053119507908612</x:v>
      </x:c>
      <x:c r="F273" s="23" t="b">
        <x:v>0</x:v>
      </x:c>
      <x:c r="G273" s="11" t="n">
        <x:v>271</x:v>
      </x:c>
      <x:c r="H273" s="11" t="n">
        <x:v>303</x:v>
      </x:c>
      <x:c r="I273" s="13" t="n">
        <x:v>0.048767320496671</x:v>
      </x:c>
      <x:c r="J273" s="13" t="n">
        <x:v>0.053092693183809</x:v>
      </x:c>
      <x:c r="K273" s="17" t="n">
        <x:v>0.432537268713849</x:v>
      </x:c>
      <x:c r="L273" s="13" t="n">
        <x:v>0.132841328413284</x:v>
      </x:c>
      <x:c r="M273" s="13" t="n">
        <x:v>0.439114391143911</x:v>
      </x:c>
      <x:c r="N273" s="13" t="n">
        <x:v>0.885608856088561</x:v>
      </x:c>
      <x:c r="O273" s="13" t="n">
        <x:v>0.148514851485148</x:v>
      </x:c>
      <x:c r="P273" s="13" t="n">
        <x:v>0.475247524752475</x:v>
      </x:c>
      <x:c r="Q273" s="13" t="n">
        <x:v>0.884488448844884</x:v>
      </x:c>
      <x:c r="R273" s="15" t="n">
        <x:v>0.996498070402768</x:v>
      </x:c>
      <x:c r="S273" s="17" t="n">
        <x:v>59.71654421411876</x:v>
      </x:c>
      <x:c r="T273" s="17" t="n">
        <x:v>58.61256323778594</x:v>
      </x:c>
      <x:c r="U273" s="23" t="b">
        <x:v>0</x:v>
      </x:c>
    </x:row>
    <x:row r="274" ht="22" customHeight="1">
      <x:c r="A274" s="7" t="str">
        <x:v>G shuffle</x:v>
      </x:c>
      <x:c r="B274" s="9" t="n">
        <x:v>1</x:v>
      </x:c>
      <x:c r="C274" s="7" t="str">
        <x:v>Endothelial 2</x:v>
      </x:c>
      <x:c r="D274" s="11" t="n">
        <x:v>103</x:v>
      </x:c>
      <x:c r="E274" s="22" t="n">
        <x:v>0.004525483304042</x:v>
      </x:c>
      <x:c r="F274" s="23" t="b">
        <x:v>1</x:v>
      </x:c>
      <x:c r="G274" s="11" t="n">
        <x:v>41</x:v>
      </x:c>
      <x:c r="H274" s="11" t="n">
        <x:v>29</x:v>
      </x:c>
      <x:c r="I274" s="13" t="n">
        <x:v>0.007378081698758</x:v>
      </x:c>
      <x:c r="J274" s="13" t="n">
        <x:v>0.005081478885579</x:v>
      </x:c>
      <x:c r="K274" s="17" t="n">
        <x:v>-0.229660281317921</x:v>
      </x:c>
      <x:c r="L274" s="13" t="n">
        <x:v>0.121951219512195</x:v>
      </x:c>
      <x:c r="M274" s="13" t="n">
        <x:v>0.268292682926829</x:v>
      </x:c>
      <x:c r="N274" s="13" t="n">
        <x:v>0.414634146341463</x:v>
      </x:c>
      <x:c r="O274" s="13" t="n">
        <x:v>0.206896551724138</x:v>
      </x:c>
      <x:c r="P274" s="13" t="n">
        <x:v>0.620689655172414</x:v>
      </x:c>
      <x:c r="Q274" s="13" t="n">
        <x:v>0.793103448275862</x:v>
      </x:c>
      <x:c r="R274" s="15" t="n">
        <x:v>0.918498754530452</x:v>
      </x:c>
      <x:c r="S274" s="17" t="n">
        <x:v>193.4260534108723</x:v>
      </x:c>
      <x:c r="T274" s="17" t="n">
        <x:v>77.87817130338246</x:v>
      </x:c>
      <x:c r="U274" s="23" t="b">
        <x:v>0</x:v>
      </x:c>
    </x:row>
    <x:row r="275" ht="22" customHeight="1">
      <x:c r="A275" s="7" t="str">
        <x:v>G shuffle</x:v>
      </x:c>
      <x:c r="B275" s="9" t="n">
        <x:v>1</x:v>
      </x:c>
      <x:c r="C275" s="7" t="str">
        <x:v>Endothelial 3</x:v>
      </x:c>
      <x:c r="D275" s="11" t="n">
        <x:v>433</x:v>
      </x:c>
      <x:c r="E275" s="22" t="n">
        <x:v>0.01902460456942</x:v>
      </x:c>
      <x:c r="F275" s="23" t="b">
        <x:v>1</x:v>
      </x:c>
      <x:c r="G275" s="11" t="n">
        <x:v>116</x:v>
      </x:c>
      <x:c r="H275" s="11" t="n">
        <x:v>111</x:v>
      </x:c>
      <x:c r="I275" s="13" t="n">
        <x:v>0.020874572611121</x:v>
      </x:c>
      <x:c r="J275" s="13" t="n">
        <x:v>0.019449798493079</x:v>
      </x:c>
      <x:c r="K275" s="17" t="n">
        <x:v>-0.142477411804243</x:v>
      </x:c>
      <x:c r="L275" s="13" t="n">
        <x:v>0.060344827586207</x:v>
      </x:c>
      <x:c r="M275" s="13" t="n">
        <x:v>0.21551724137931</x:v>
      </x:c>
      <x:c r="N275" s="13" t="n">
        <x:v>0.560344827586207</x:v>
      </x:c>
      <x:c r="O275" s="13" t="n">
        <x:v>0.072072072072072</x:v>
      </x:c>
      <x:c r="P275" s="13" t="n">
        <x:v>0.225225225225225</x:v>
      </x:c>
      <x:c r="Q275" s="13" t="n">
        <x:v>0.684684684684685</x:v>
      </x:c>
      <x:c r="R275" s="15" t="n">
        <x:v>0.9894963002903</x:v>
      </x:c>
      <x:c r="S275" s="17" t="n">
        <x:v>95.47928241719866</x:v>
      </x:c>
      <x:c r="T275" s="17" t="n">
        <x:v>79.80842445102878</x:v>
      </x:c>
      <x:c r="U275" s="23" t="b">
        <x:v>0</x:v>
      </x:c>
    </x:row>
    <x:row r="276" ht="22" customHeight="1">
      <x:c r="A276" s="7" t="str">
        <x:v>G shuffle</x:v>
      </x:c>
      <x:c r="B276" s="9" t="n">
        <x:v>1</x:v>
      </x:c>
      <x:c r="C276" s="7" t="str">
        <x:v>Ependymal</x:v>
      </x:c>
      <x:c r="D276" s="11" t="n">
        <x:v>982</x:v>
      </x:c>
      <x:c r="E276" s="22" t="n">
        <x:v>0.043145869947276</x:v>
      </x:c>
      <x:c r="F276" s="23" t="b">
        <x:v>1</x:v>
      </x:c>
      <x:c r="G276" s="11" t="n">
        <x:v>305</x:v>
      </x:c>
      <x:c r="H276" s="11" t="n">
        <x:v>266</x:v>
      </x:c>
      <x:c r="I276" s="13" t="n">
        <x:v>0.054885729710275</x:v>
      </x:c>
      <x:c r="J276" s="13" t="n">
        <x:v>0.04660942701945</x:v>
      </x:c>
      <x:c r="K276" s="17" t="n">
        <x:v>-0.827630269082553</x:v>
      </x:c>
      <x:c r="L276" s="13" t="n">
        <x:v>0.757377049180328</x:v>
      </x:c>
      <x:c r="M276" s="13" t="n">
        <x:v>0.99344262295082</x:v>
      </x:c>
      <x:c r="N276" s="13" t="n">
        <x:v>1</x:v>
      </x:c>
      <x:c r="O276" s="13" t="n">
        <x:v>0.793233082706767</x:v>
      </x:c>
      <x:c r="P276" s="13" t="n">
        <x:v>0.966165413533834</x:v>
      </x:c>
      <x:c r="Q276" s="13" t="n">
        <x:v>0.996240601503759</x:v>
      </x:c>
      <x:c r="R276" s="15" t="n">
        <x:v>0.996136889424135</x:v>
      </x:c>
      <x:c r="S276" s="17" t="n">
        <x:v>18.106526849223364</x:v>
      </x:c>
      <x:c r="T276" s="17" t="n">
        <x:v>17.55603169098374</x:v>
      </x:c>
      <x:c r="U276" s="23" t="b">
        <x:v>0</x:v>
      </x:c>
    </x:row>
    <x:row r="277" ht="22" customHeight="1">
      <x:c r="A277" s="7" t="str">
        <x:v>G shuffle</x:v>
      </x:c>
      <x:c r="B277" s="9" t="n">
        <x:v>1</x:v>
      </x:c>
      <x:c r="C277" s="7" t="str">
        <x:v>Excitatory</x:v>
      </x:c>
      <x:c r="D277" s="11" t="n">
        <x:v>4700</x:v>
      </x:c>
      <x:c r="E277" s="22" t="n">
        <x:v>0.206502636203866</x:v>
      </x:c>
      <x:c r="F277" s="23" t="b">
        <x:v>0</x:v>
      </x:c>
      <x:c r="G277" s="11" t="n">
        <x:v>1087</x:v>
      </x:c>
      <x:c r="H277" s="11" t="n">
        <x:v>1142</x:v>
      </x:c>
      <x:c r="I277" s="13" t="n">
        <x:v>0.195609141623178</x:v>
      </x:c>
      <x:c r="J277" s="13" t="n">
        <x:v>0.200105134045908</x:v>
      </x:c>
      <x:c r="K277" s="17" t="n">
        <x:v>0.449599242273058</x:v>
      </x:c>
      <x:c r="L277" s="13" t="n">
        <x:v>0.543698252069917</x:v>
      </x:c>
      <x:c r="M277" s="13" t="n">
        <x:v>0.90984360625575</x:v>
      </x:c>
      <x:c r="N277" s="13" t="n">
        <x:v>0.993560257589696</x:v>
      </x:c>
      <x:c r="O277" s="13" t="n">
        <x:v>0.538528896672504</x:v>
      </x:c>
      <x:c r="P277" s="13" t="n">
        <x:v>0.892294220665499</x:v>
      </x:c>
      <x:c r="Q277" s="13" t="n">
        <x:v>0.986865148861646</x:v>
      </x:c>
      <x:c r="R277" s="15" t="n">
        <x:v>0.993774995979167</x:v>
      </x:c>
      <x:c r="S277" s="17" t="n">
        <x:v>26.33921199215619</x:v>
      </x:c>
      <x:c r="T277" s="17" t="n">
        <x:v>27.575039625396645</x:v>
      </x:c>
      <x:c r="U277" s="23" t="b">
        <x:v>0</x:v>
      </x:c>
    </x:row>
    <x:row r="278" ht="22" customHeight="1">
      <x:c r="A278" s="7" t="str">
        <x:v>G shuffle</x:v>
      </x:c>
      <x:c r="B278" s="9" t="n">
        <x:v>1</x:v>
      </x:c>
      <x:c r="C278" s="7" t="str">
        <x:v>Inhibitory</x:v>
      </x:c>
      <x:c r="D278" s="11" t="n">
        <x:v>9839</x:v>
      </x:c>
      <x:c r="E278" s="22" t="n">
        <x:v>0.432293497363796</x:v>
      </x:c>
      <x:c r="F278" s="23" t="b">
        <x:v>0</x:v>
      </x:c>
      <x:c r="G278" s="11" t="n">
        <x:v>2530</x:v>
      </x:c>
      <x:c r="H278" s="11" t="n">
        <x:v>2502</x:v>
      </x:c>
      <x:c r="I278" s="13" t="n">
        <x:v>0.455281626777038</x:v>
      </x:c>
      <x:c r="J278" s="13" t="n">
        <x:v>0.438408971438584</x:v>
      </x:c>
      <x:c r="K278" s="17" t="n">
        <x:v>-1.687265533845378</x:v>
      </x:c>
      <x:c r="L278" s="13" t="n">
        <x:v>0.81304347826087</x:v>
      </x:c>
      <x:c r="M278" s="13" t="n">
        <x:v>0.990909090909091</x:v>
      </x:c>
      <x:c r="N278" s="13" t="n">
        <x:v>0.998814229249012</x:v>
      </x:c>
      <x:c r="O278" s="13" t="n">
        <x:v>0.849320543565148</x:v>
      </x:c>
      <x:c r="P278" s="13" t="n">
        <x:v>0.980415667466027</x:v>
      </x:c>
      <x:c r="Q278" s="13" t="n">
        <x:v>0.999600319744205</x:v>
      </x:c>
      <x:c r="R278" s="15" t="n">
        <x:v>0.995506957860362</x:v>
      </x:c>
      <x:c r="S278" s="17" t="n">
        <x:v>17.428810366066536</x:v>
      </x:c>
      <x:c r="T278" s="17" t="n">
        <x:v>16.368397802676167</x:v>
      </x:c>
      <x:c r="U278" s="23" t="b">
        <x:v>0</x:v>
      </x:c>
    </x:row>
    <x:row r="279" ht="22" customHeight="1">
      <x:c r="A279" s="7" t="str">
        <x:v>G shuffle</x:v>
      </x:c>
      <x:c r="B279" s="9" t="n">
        <x:v>1</x:v>
      </x:c>
      <x:c r="C279" s="7" t="str">
        <x:v>Microglia</x:v>
      </x:c>
      <x:c r="D279" s="11" t="n">
        <x:v>486</x:v>
      </x:c>
      <x:c r="E279" s="22" t="n">
        <x:v>0.021353251318102</x:v>
      </x:c>
      <x:c r="F279" s="23" t="b">
        <x:v>1</x:v>
      </x:c>
      <x:c r="G279" s="11" t="n">
        <x:v>108</x:v>
      </x:c>
      <x:c r="H279" s="11" t="n">
        <x:v>129</x:v>
      </x:c>
      <x:c r="I279" s="13" t="n">
        <x:v>0.019434946913802</x:v>
      </x:c>
      <x:c r="J279" s="13" t="n">
        <x:v>0.022603819870335</x:v>
      </x:c>
      <x:c r="K279" s="17" t="n">
        <x:v>0.316887295653227</x:v>
      </x:c>
      <x:c r="L279" s="13" t="n">
        <x:v>0.083333333333333</x:v>
      </x:c>
      <x:c r="M279" s="13" t="n">
        <x:v>0.212962962962963</x:v>
      </x:c>
      <x:c r="N279" s="13" t="n">
        <x:v>0.657407407407408</x:v>
      </x:c>
      <x:c r="O279" s="13" t="n">
        <x:v>0.085271317829457</x:v>
      </x:c>
      <x:c r="P279" s="13" t="n">
        <x:v>0.217054263565891</x:v>
      </x:c>
      <x:c r="Q279" s="13" t="n">
        <x:v>0.682170542635659</x:v>
      </x:c>
      <x:c r="R279" s="15" t="n">
        <x:v>0.985274665780052</x:v>
      </x:c>
      <x:c r="S279" s="17" t="n">
        <x:v>87.26789796200332</x:v>
      </x:c>
      <x:c r="T279" s="17" t="n">
        <x:v>84.91045756225243</x:v>
      </x:c>
      <x:c r="U279" s="23" t="b">
        <x:v>0</x:v>
      </x:c>
    </x:row>
    <x:row r="280" ht="22" customHeight="1">
      <x:c r="A280" s="7" t="str">
        <x:v>G shuffle</x:v>
      </x:c>
      <x:c r="B280" s="9" t="n">
        <x:v>1</x:v>
      </x:c>
      <x:c r="C280" s="7" t="str">
        <x:v>OD Immature 1</x:v>
      </x:c>
      <x:c r="D280" s="11" t="n">
        <x:v>829</x:v>
      </x:c>
      <x:c r="E280" s="22" t="n">
        <x:v>0.036423550087873</x:v>
      </x:c>
      <x:c r="F280" s="23" t="b">
        <x:v>1</x:v>
      </x:c>
      <x:c r="G280" s="11" t="n">
        <x:v>183</x:v>
      </x:c>
      <x:c r="H280" s="11" t="n">
        <x:v>205</x:v>
      </x:c>
      <x:c r="I280" s="13" t="n">
        <x:v>0.032931437826165</x:v>
      </x:c>
      <x:c r="J280" s="13" t="n">
        <x:v>0.035920799018749</x:v>
      </x:c>
      <x:c r="K280" s="17" t="n">
        <x:v>0.29893611925837</x:v>
      </x:c>
      <x:c r="L280" s="13" t="n">
        <x:v>0.098360655737705</x:v>
      </x:c>
      <x:c r="M280" s="13" t="n">
        <x:v>0.349726775956284</x:v>
      </x:c>
      <x:c r="N280" s="13" t="n">
        <x:v>0.846994535519126</x:v>
      </x:c>
      <x:c r="O280" s="13" t="n">
        <x:v>0.107317073170732</x:v>
      </x:c>
      <x:c r="P280" s="13" t="n">
        <x:v>0.375609756097561</x:v>
      </x:c>
      <x:c r="Q280" s="13" t="n">
        <x:v>0.882926829268293</x:v>
      </x:c>
      <x:c r="R280" s="15" t="n">
        <x:v>0.995066193307878</x:v>
      </x:c>
      <x:c r="S280" s="17" t="n">
        <x:v>65.75270166078522</x:v>
      </x:c>
      <x:c r="T280" s="17" t="n">
        <x:v>62.13797372587481</x:v>
      </x:c>
      <x:c r="U280" s="23" t="b">
        <x:v>0</x:v>
      </x:c>
    </x:row>
    <x:row r="281" ht="22" customHeight="1">
      <x:c r="A281" s="7" t="str">
        <x:v>G shuffle</x:v>
      </x:c>
      <x:c r="B281" s="9" t="n">
        <x:v>1</x:v>
      </x:c>
      <x:c r="C281" s="7" t="str">
        <x:v>OD Immature 2</x:v>
      </x:c>
      <x:c r="D281" s="11" t="n">
        <x:v>28</x:v>
      </x:c>
      <x:c r="E281" s="22" t="n">
        <x:v>0.001230228471002</x:v>
      </x:c>
      <x:c r="F281" s="23" t="b">
        <x:v>1</x:v>
      </x:c>
      <x:c r="G281" s="11" t="n">
        <x:v>5</x:v>
      </x:c>
      <x:c r="H281" s="11" t="n">
        <x:v>7</x:v>
      </x:c>
      <x:c r="I281" s="13" t="n">
        <x:v>0.000899766060824</x:v>
      </x:c>
      <x:c r="J281" s="13" t="n">
        <x:v>0.001226563868933</x:v>
      </x:c>
      <x:c r="K281" s="17" t="n">
        <x:v>0.03267978081087</x:v>
      </x:c>
      <x:c r="L281" s="13" t="n">
        <x:v>0</x:v>
      </x:c>
      <x:c r="M281" s="13" t="n">
        <x:v>0</x:v>
      </x:c>
      <x:c r="N281" s="13" t="n">
        <x:v>0.2</x:v>
      </x:c>
      <x:c r="O281" s="13" t="n">
        <x:v>0</x:v>
      </x:c>
      <x:c r="P281" s="13" t="n">
        <x:v>0</x:v>
      </x:c>
      <x:c r="Q281" s="13" t="n">
        <x:v>0.428571428571428</x:v>
      </x:c>
      <x:c r="R281" s="15" t="n">
        <x:v>0.572028637635014</x:v>
      </x:c>
      <x:c r="S281" s="17" t="n">
        <x:v>393.0515218736085</x:v>
      </x:c>
      <x:c r="T281" s="17" t="n">
        <x:v>268.4124480862908</x:v>
      </x:c>
      <x:c r="U281" s="23" t="b">
        <x:v>0</x:v>
      </x:c>
    </x:row>
    <x:row r="282" ht="22" customHeight="1">
      <x:c r="A282" s="7" t="str">
        <x:v>G shuffle</x:v>
      </x:c>
      <x:c r="B282" s="9" t="n">
        <x:v>1</x:v>
      </x:c>
      <x:c r="C282" s="7" t="str">
        <x:v>OD Mature 1</x:v>
      </x:c>
      <x:c r="D282" s="11" t="n">
        <x:v>209</x:v>
      </x:c>
      <x:c r="E282" s="22" t="n">
        <x:v>0.009182776801406</x:v>
      </x:c>
      <x:c r="F282" s="23" t="b">
        <x:v>1</x:v>
      </x:c>
      <x:c r="G282" s="11" t="n">
        <x:v>29</x:v>
      </x:c>
      <x:c r="H282" s="11" t="n">
        <x:v>58</x:v>
      </x:c>
      <x:c r="I282" s="13" t="n">
        <x:v>0.00521864315278</x:v>
      </x:c>
      <x:c r="J282" s="13" t="n">
        <x:v>0.010162957771158</x:v>
      </x:c>
      <x:c r="K282" s="17" t="n">
        <x:v>0.494431461837795</x:v>
      </x:c>
      <x:c r="L282" s="13" t="n">
        <x:v>0</x:v>
      </x:c>
      <x:c r="M282" s="13" t="n">
        <x:v>0.172413793103448</x:v>
      </x:c>
      <x:c r="N282" s="13" t="n">
        <x:v>0.482758620689655</x:v>
      </x:c>
      <x:c r="O282" s="13" t="n">
        <x:v>0</x:v>
      </x:c>
      <x:c r="P282" s="13" t="n">
        <x:v>0.172413793103448</x:v>
      </x:c>
      <x:c r="Q282" s="13" t="n">
        <x:v>0.379310344827586</x:v>
      </x:c>
      <x:c r="R282" s="15" t="n">
        <x:v>0.981597479923292</x:v>
      </x:c>
      <x:c r="S282" s="17" t="n">
        <x:v>114.11644153946654</x:v>
      </x:c>
      <x:c r="T282" s="17" t="n">
        <x:v>139.09185549046464</x:v>
      </x:c>
      <x:c r="U282" s="23" t="b">
        <x:v>0</x:v>
      </x:c>
    </x:row>
    <x:row r="283" ht="22" customHeight="1">
      <x:c r="A283" s="7" t="str">
        <x:v>G shuffle</x:v>
      </x:c>
      <x:c r="B283" s="9" t="n">
        <x:v>1</x:v>
      </x:c>
      <x:c r="C283" s="7" t="str">
        <x:v>OD Mature 2</x:v>
      </x:c>
      <x:c r="D283" s="11" t="n">
        <x:v>956</x:v>
      </x:c>
      <x:c r="E283" s="22" t="n">
        <x:v>0.042003514938488</x:v>
      </x:c>
      <x:c r="F283" s="23" t="b">
        <x:v>1</x:v>
      </x:c>
      <x:c r="G283" s="11" t="n">
        <x:v>197</x:v>
      </x:c>
      <x:c r="H283" s="11" t="n">
        <x:v>235</x:v>
      </x:c>
      <x:c r="I283" s="13" t="n">
        <x:v>0.035450782796473</x:v>
      </x:c>
      <x:c r="J283" s="13" t="n">
        <x:v>0.041177501314176</x:v>
      </x:c>
      <x:c r="K283" s="17" t="n">
        <x:v>0.572671851770266</x:v>
      </x:c>
      <x:c r="L283" s="13" t="n">
        <x:v>0.294416243654822</x:v>
      </x:c>
      <x:c r="M283" s="13" t="n">
        <x:v>0.543147208121827</x:v>
      </x:c>
      <x:c r="N283" s="13" t="n">
        <x:v>0.842639593908629</x:v>
      </x:c>
      <x:c r="O283" s="13" t="n">
        <x:v>0.285106382978723</x:v>
      </x:c>
      <x:c r="P283" s="13" t="n">
        <x:v>0.557446808510638</x:v>
      </x:c>
      <x:c r="Q283" s="13" t="n">
        <x:v>0.851063829787234</x:v>
      </x:c>
      <x:c r="R283" s="15" t="n">
        <x:v>0.997418864159974</x:v>
      </x:c>
      <x:c r="S283" s="17" t="n">
        <x:v>60.25675974369794</x:v>
      </x:c>
      <x:c r="T283" s="17" t="n">
        <x:v>56.19445644256362</x:v>
      </x:c>
      <x:c r="U283" s="23" t="b">
        <x:v>0</x:v>
      </x:c>
    </x:row>
    <x:row r="284" ht="22" customHeight="1">
      <x:c r="A284" s="7" t="str">
        <x:v>G shuffle</x:v>
      </x:c>
      <x:c r="B284" s="9" t="n">
        <x:v>1</x:v>
      </x:c>
      <x:c r="C284" s="7" t="str">
        <x:v>OD Mature 3</x:v>
      </x:c>
      <x:c r="D284" s="11" t="n">
        <x:v>11</x:v>
      </x:c>
      <x:c r="E284" s="22" t="n">
        <x:v>0.000483304042179</x:v>
      </x:c>
      <x:c r="F284" s="23" t="b">
        <x:v>1</x:v>
      </x:c>
      <x:c r="G284" s="11" t="n">
        <x:v>3</x:v>
      </x:c>
      <x:c r="H284" s="11" t="n">
        <x:v>1</x:v>
      </x:c>
      <x:c r="I284" s="13" t="n">
        <x:v>0.000539859636494</x:v>
      </x:c>
      <x:c r="J284" s="13" t="n">
        <x:v>0.000175223409848</x:v>
      </x:c>
      <x:c r="K284" s="17" t="n">
        <x:v>-0.036463622664696</x:v>
      </x:c>
      <x:c r="L284" s="13" t="n">
        <x:v>0</x:v>
      </x:c>
      <x:c r="M284" s="13" t="n">
        <x:v>0</x:v>
      </x:c>
      <x:c r="N284" s="13" t="n">
        <x:v>0</x:v>
      </x:c>
      <x:c r="O284" s="13" t="n">
        <x:v>0</x:v>
      </x:c>
      <x:c r="P284" s="13" t="n">
        <x:v>0</x:v>
      </x:c>
      <x:c r="Q284" s="13" t="n">
        <x:v>0</x:v>
      </x:c>
      <x:c r="R284" s="15" t="n">
        <x:v>0.81494485223816</x:v>
      </x:c>
      <x:c r="S284" s="17" t="n">
        <x:v>1300.9490817891462</x:v>
      </x:c>
      <x:c r="T284" s="17" t="n">
        <x:v>855.1351147914795</x:v>
      </x:c>
      <x:c r="U284" s="23" t="b">
        <x:v>0</x:v>
      </x:c>
    </x:row>
    <x:row r="285" ht="22" customHeight="1">
      <x:c r="A285" s="7" t="str">
        <x:v>G shuffle</x:v>
      </x:c>
      <x:c r="B285" s="9" t="n">
        <x:v>1</x:v>
      </x:c>
      <x:c r="C285" s="7" t="str">
        <x:v>OD Mature 4</x:v>
      </x:c>
      <x:c r="D285" s="11" t="n">
        <x:v>36</x:v>
      </x:c>
      <x:c r="E285" s="22" t="n">
        <x:v>0.001581722319859</x:v>
      </x:c>
      <x:c r="F285" s="23" t="b">
        <x:v>1</x:v>
      </x:c>
      <x:c r="G285" s="11" t="n">
        <x:v>11</x:v>
      </x:c>
      <x:c r="H285" s="11" t="n">
        <x:v>9</x:v>
      </x:c>
      <x:c r="I285" s="13" t="n">
        <x:v>0.001979485333813</x:v>
      </x:c>
      <x:c r="J285" s="13" t="n">
        <x:v>0.001577010688628</x:v>
      </x:c>
      <x:c r="K285" s="17" t="n">
        <x:v>-0.040247464518521</x:v>
      </x:c>
      <x:c r="L285" s="13" t="n">
        <x:v>0</x:v>
      </x:c>
      <x:c r="M285" s="13" t="n">
        <x:v>0</x:v>
      </x:c>
      <x:c r="N285" s="13" t="n">
        <x:v>0.272727272727273</x:v>
      </x:c>
      <x:c r="O285" s="13" t="n">
        <x:v>0</x:v>
      </x:c>
      <x:c r="P285" s="13" t="n">
        <x:v>0</x:v>
      </x:c>
      <x:c r="Q285" s="13" t="n">
        <x:v>0.333333333333333</x:v>
      </x:c>
      <x:c r="R285" s="15" t="n">
        <x:v>0.90574112399124</x:v>
      </x:c>
      <x:c r="S285" s="17" t="n">
        <x:v>456.3722949775549</x:v>
      </x:c>
      <x:c r="T285" s="17" t="n">
        <x:v>214.59063230236404</x:v>
      </x:c>
      <x:c r="U285" s="23" t="b">
        <x:v>0</x:v>
      </x:c>
    </x:row>
    <x:row r="286" ht="22" customHeight="1">
      <x:c r="A286" s="7" t="str">
        <x:v>G shuffle</x:v>
      </x:c>
      <x:c r="B286" s="9" t="n">
        <x:v>1</x:v>
      </x:c>
      <x:c r="C286" s="7" t="str">
        <x:v>Pericytes</x:v>
      </x:c>
      <x:c r="D286" s="11" t="n">
        <x:v>167</x:v>
      </x:c>
      <x:c r="E286" s="22" t="n">
        <x:v>0.007337434094903</x:v>
      </x:c>
      <x:c r="F286" s="23" t="b">
        <x:v>1</x:v>
      </x:c>
      <x:c r="G286" s="11" t="n">
        <x:v>37</x:v>
      </x:c>
      <x:c r="H286" s="11" t="n">
        <x:v>27</x:v>
      </x:c>
      <x:c r="I286" s="13" t="n">
        <x:v>0.006658268850099</x:v>
      </x:c>
      <x:c r="J286" s="13" t="n">
        <x:v>0.004731032065884</x:v>
      </x:c>
      <x:c r="K286" s="17" t="n">
        <x:v>-0.192723678421497</x:v>
      </x:c>
      <x:c r="L286" s="13" t="n">
        <x:v>0</x:v>
      </x:c>
      <x:c r="M286" s="13" t="n">
        <x:v>0.216216216216216</x:v>
      </x:c>
      <x:c r="N286" s="13" t="n">
        <x:v>0.27027027027027</x:v>
      </x:c>
      <x:c r="O286" s="13" t="n">
        <x:v>0</x:v>
      </x:c>
      <x:c r="P286" s="13" t="n">
        <x:v>0.259259259259259</x:v>
      </x:c>
      <x:c r="Q286" s="13" t="n">
        <x:v>0.481481481481481</x:v>
      </x:c>
      <x:c r="R286" s="15" t="n">
        <x:v>0.974304456006846</x:v>
      </x:c>
      <x:c r="S286" s="17" t="n">
        <x:v>199.4400323007412</x:v>
      </x:c>
      <x:c r="T286" s="17" t="n">
        <x:v>165.533115760755</x:v>
      </x:c>
      <x:c r="U286" s="23" t="b">
        <x:v>0</x:v>
      </x:c>
    </x:row>
    <x:row r="287" ht="22" customHeight="1">
      <x:c r="A287" s="7" t="str">
        <x:v>G shuffle</x:v>
      </x:c>
      <x:c r="B287" s="9" t="n">
        <x:v>2</x:v>
      </x:c>
      <x:c r="C287" s="7" t="str">
        <x:v>Astrocyte</x:v>
      </x:c>
      <x:c r="D287" s="11" t="n">
        <x:v>2738</x:v>
      </x:c>
      <x:c r="E287" s="22" t="n">
        <x:v>0.122281273726051</x:v>
      </x:c>
      <x:c r="F287" s="23" t="b">
        <x:v>0</x:v>
      </x:c>
      <x:c r="G287" s="11" t="n">
        <x:v>668</x:v>
      </x:c>
      <x:c r="H287" s="11" t="n">
        <x:v>649</x:v>
      </x:c>
      <x:c r="I287" s="13" t="n">
        <x:v>0.112723590955113</x:v>
      </x:c>
      <x:c r="J287" s="13" t="n">
        <x:v>0.114260563380282</x:v>
      </x:c>
      <x:c r="K287" s="17" t="n">
        <x:v>0.153697242516863</x:v>
      </x:c>
      <x:c r="L287" s="13" t="n">
        <x:v>0.29940119760479</x:v>
      </x:c>
      <x:c r="M287" s="13" t="n">
        <x:v>0.74251497005988</x:v>
      </x:c>
      <x:c r="N287" s="13" t="n">
        <x:v>0.989520958083832</x:v>
      </x:c>
      <x:c r="O287" s="13" t="n">
        <x:v>0.351309707241911</x:v>
      </x:c>
      <x:c r="P287" s="13" t="n">
        <x:v>0.802773497688752</x:v>
      </x:c>
      <x:c r="Q287" s="13" t="n">
        <x:v>0.99537750385208</x:v>
      </x:c>
      <x:c r="R287" s="15" t="n">
        <x:v>0.996070129630163</x:v>
      </x:c>
      <x:c r="S287" s="17" t="n">
        <x:v>38.30618193962951</x:v>
      </x:c>
      <x:c r="T287" s="17" t="n">
        <x:v>34.46053801984305</x:v>
      </x:c>
      <x:c r="U287" s="23" t="b">
        <x:v>0</x:v>
      </x:c>
    </x:row>
    <x:row r="288" ht="22" customHeight="1">
      <x:c r="A288" s="7" t="str">
        <x:v>G shuffle</x:v>
      </x:c>
      <x:c r="B288" s="9" t="n">
        <x:v>2</x:v>
      </x:c>
      <x:c r="C288" s="7" t="str">
        <x:v>Endothelial 1</x:v>
      </x:c>
      <x:c r="D288" s="11" t="n">
        <x:v>1190</x:v>
      </x:c>
      <x:c r="E288" s="22" t="n">
        <x:v>0.053146353445581</x:v>
      </x:c>
      <x:c r="F288" s="23" t="b">
        <x:v>0</x:v>
      </x:c>
      <x:c r="G288" s="11" t="n">
        <x:v>290</x:v>
      </x:c>
      <x:c r="H288" s="11" t="n">
        <x:v>287</x:v>
      </x:c>
      <x:c r="I288" s="13" t="n">
        <x:v>0.048936888288896</x:v>
      </x:c>
      <x:c r="J288" s="13" t="n">
        <x:v>0.050528169014084</x:v>
      </x:c>
      <x:c r="K288" s="17" t="n">
        <x:v>0.159128072518812</x:v>
      </x:c>
      <x:c r="L288" s="13" t="n">
        <x:v>0.127586206896552</x:v>
      </x:c>
      <x:c r="M288" s="13" t="n">
        <x:v>0.413793103448276</x:v>
      </x:c>
      <x:c r="N288" s="13" t="n">
        <x:v>0.855172413793104</x:v>
      </x:c>
      <x:c r="O288" s="13" t="n">
        <x:v>0.191637630662021</x:v>
      </x:c>
      <x:c r="P288" s="13" t="n">
        <x:v>0.54006968641115</x:v>
      </x:c>
      <x:c r="Q288" s="13" t="n">
        <x:v>0.965156794425087</x:v>
      </x:c>
      <x:c r="R288" s="15" t="n">
        <x:v>0.99601071495078</x:v>
      </x:c>
      <x:c r="S288" s="17" t="n">
        <x:v>68.28447307180704</x:v>
      </x:c>
      <x:c r="T288" s="17" t="n">
        <x:v>50.181113434744056</x:v>
      </x:c>
      <x:c r="U288" s="23" t="b">
        <x:v>0</x:v>
      </x:c>
    </x:row>
    <x:row r="289" ht="22" customHeight="1">
      <x:c r="A289" s="7" t="str">
        <x:v>G shuffle</x:v>
      </x:c>
      <x:c r="B289" s="9" t="n">
        <x:v>2</x:v>
      </x:c>
      <x:c r="C289" s="7" t="str">
        <x:v>Endothelial 2</x:v>
      </x:c>
      <x:c r="D289" s="11" t="n">
        <x:v>127</x:v>
      </x:c>
      <x:c r="E289" s="22" t="n">
        <x:v>0.005671921754276</x:v>
      </x:c>
      <x:c r="F289" s="23" t="b">
        <x:v>1</x:v>
      </x:c>
      <x:c r="G289" s="11" t="n">
        <x:v>17</x:v>
      </x:c>
      <x:c r="H289" s="11" t="n">
        <x:v>35</x:v>
      </x:c>
      <x:c r="I289" s="13" t="n">
        <x:v>0.002868714141073</x:v>
      </x:c>
      <x:c r="J289" s="13" t="n">
        <x:v>0.006161971830986</x:v>
      </x:c>
      <x:c r="K289" s="17" t="n">
        <x:v>0.329325768991268</x:v>
      </x:c>
      <x:c r="L289" s="13" t="n">
        <x:v>0.117647058823529</x:v>
      </x:c>
      <x:c r="M289" s="13" t="n">
        <x:v>0.176470588235294</x:v>
      </x:c>
      <x:c r="N289" s="13" t="n">
        <x:v>0.294117647058824</x:v>
      </x:c>
      <x:c r="O289" s="13" t="n">
        <x:v>0.057142857142857</x:v>
      </x:c>
      <x:c r="P289" s="13" t="n">
        <x:v>0.085714285714286</x:v>
      </x:c>
      <x:c r="Q289" s="13" t="n">
        <x:v>0.114285714285714</x:v>
      </x:c>
      <x:c r="R289" s="15" t="n">
        <x:v>0.934470668820697</x:v>
      </x:c>
      <x:c r="S289" s="17" t="n">
        <x:v>165.9762938052661</x:v>
      </x:c>
      <x:c r="T289" s="17" t="n">
        <x:v>223.4589174063331</x:v>
      </x:c>
      <x:c r="U289" s="23" t="b">
        <x:v>0</x:v>
      </x:c>
    </x:row>
    <x:row r="290" ht="22" customHeight="1">
      <x:c r="A290" s="7" t="str">
        <x:v>G shuffle</x:v>
      </x:c>
      <x:c r="B290" s="9" t="n">
        <x:v>2</x:v>
      </x:c>
      <x:c r="C290" s="7" t="str">
        <x:v>Endothelial 3</x:v>
      </x:c>
      <x:c r="D290" s="11" t="n">
        <x:v>442</x:v>
      </x:c>
      <x:c r="E290" s="22" t="n">
        <x:v>0.01974007413693</x:v>
      </x:c>
      <x:c r="F290" s="23" t="b">
        <x:v>1</x:v>
      </x:c>
      <x:c r="G290" s="11" t="n">
        <x:v>107</x:v>
      </x:c>
      <x:c r="H290" s="11" t="n">
        <x:v>105</x:v>
      </x:c>
      <x:c r="I290" s="13" t="n">
        <x:v>0.018056024299696</x:v>
      </x:c>
      <x:c r="J290" s="13" t="n">
        <x:v>0.018485915492958</x:v>
      </x:c>
      <x:c r="K290" s="17" t="n">
        <x:v>0.042989119326149</x:v>
      </x:c>
      <x:c r="L290" s="13" t="n">
        <x:v>0.02803738317757</x:v>
      </x:c>
      <x:c r="M290" s="13" t="n">
        <x:v>0.149532710280374</x:v>
      </x:c>
      <x:c r="N290" s="13" t="n">
        <x:v>0.560747663551402</x:v>
      </x:c>
      <x:c r="O290" s="13" t="n">
        <x:v>0.028571428571428</x:v>
      </x:c>
      <x:c r="P290" s="13" t="n">
        <x:v>0.152380952380952</x:v>
      </x:c>
      <x:c r="Q290" s="13" t="n">
        <x:v>0.542857142857143</x:v>
      </x:c>
      <x:c r="R290" s="15" t="n">
        <x:v>0.984758854957558</x:v>
      </x:c>
      <x:c r="S290" s="17" t="n">
        <x:v>95.98779858544576</x:v>
      </x:c>
      <x:c r="T290" s="17" t="n">
        <x:v>95.46661210844604</x:v>
      </x:c>
      <x:c r="U290" s="23" t="b">
        <x:v>0</x:v>
      </x:c>
    </x:row>
    <x:row r="291" ht="22" customHeight="1">
      <x:c r="A291" s="7" t="str">
        <x:v>G shuffle</x:v>
      </x:c>
      <x:c r="B291" s="9" t="n">
        <x:v>2</x:v>
      </x:c>
      <x:c r="C291" s="7" t="str">
        <x:v>Ependymal</x:v>
      </x:c>
      <x:c r="D291" s="11" t="n">
        <x:v>1014</x:v>
      </x:c>
      <x:c r="E291" s="22" t="n">
        <x:v>0.045286052431781</x:v>
      </x:c>
      <x:c r="F291" s="23" t="b">
        <x:v>1</x:v>
      </x:c>
      <x:c r="G291" s="11" t="n">
        <x:v>273</x:v>
      </x:c>
      <x:c r="H291" s="11" t="n">
        <x:v>269</x:v>
      </x:c>
      <x:c r="I291" s="13" t="n">
        <x:v>0.046068174147823</x:v>
      </x:c>
      <x:c r="J291" s="13" t="n">
        <x:v>0.047359154929577</x:v>
      </x:c>
      <x:c r="K291" s="17" t="n">
        <x:v>0.129098078175431</x:v>
      </x:c>
      <x:c r="L291" s="13" t="n">
        <x:v>0.82051282051282</x:v>
      </x:c>
      <x:c r="M291" s="13" t="n">
        <x:v>0.992673992673993</x:v>
      </x:c>
      <x:c r="N291" s="13" t="n">
        <x:v>1</x:v>
      </x:c>
      <x:c r="O291" s="13" t="n">
        <x:v>0.762081784386617</x:v>
      </x:c>
      <x:c r="P291" s="13" t="n">
        <x:v>0.947955390334572</x:v>
      </x:c>
      <x:c r="Q291" s="13" t="n">
        <x:v>1</x:v>
      </x:c>
      <x:c r="R291" s="15" t="n">
        <x:v>0.996109794516164</x:v>
      </x:c>
      <x:c r="S291" s="17" t="n">
        <x:v>15.859719099050936</x:v>
      </x:c>
      <x:c r="T291" s="17" t="n">
        <x:v>18.790729481414655</x:v>
      </x:c>
      <x:c r="U291" s="23" t="b">
        <x:v>0</x:v>
      </x:c>
    </x:row>
    <x:row r="292" ht="22" customHeight="1">
      <x:c r="A292" s="7" t="str">
        <x:v>G shuffle</x:v>
      </x:c>
      <x:c r="B292" s="9" t="n">
        <x:v>2</x:v>
      </x:c>
      <x:c r="C292" s="7" t="str">
        <x:v>Excitatory</x:v>
      </x:c>
      <x:c r="D292" s="11" t="n">
        <x:v>4575</x:v>
      </x:c>
      <x:c r="E292" s="22" t="n">
        <x:v>0.20432316555759</x:v>
      </x:c>
      <x:c r="F292" s="23" t="b">
        <x:v>0</x:v>
      </x:c>
      <x:c r="G292" s="11" t="n">
        <x:v>1212</x:v>
      </x:c>
      <x:c r="H292" s="11" t="n">
        <x:v>1140</x:v>
      </x:c>
      <x:c r="I292" s="13" t="n">
        <x:v>0.204522443469457</x:v>
      </x:c>
      <x:c r="J292" s="13" t="n">
        <x:v>0.200704225352113</x:v>
      </x:c>
      <x:c r="K292" s="17" t="n">
        <x:v>-0.381821811734395</x:v>
      </x:c>
      <x:c r="L292" s="13" t="n">
        <x:v>0.50990099009901</x:v>
      </x:c>
      <x:c r="M292" s="13" t="n">
        <x:v>0.896039603960396</x:v>
      </x:c>
      <x:c r="N292" s="13" t="n">
        <x:v>0.995874587458746</x:v>
      </x:c>
      <x:c r="O292" s="13" t="n">
        <x:v>0.573684210526316</x:v>
      </x:c>
      <x:c r="P292" s="13" t="n">
        <x:v>0.914912280701754</x:v>
      </x:c>
      <x:c r="Q292" s="13" t="n">
        <x:v>0.997368421052632</x:v>
      </x:c>
      <x:c r="R292" s="15" t="n">
        <x:v>0.995594726775267</x:v>
      </x:c>
      <x:c r="S292" s="17" t="n">
        <x:v>27.63200493490448</x:v>
      </x:c>
      <x:c r="T292" s="17" t="n">
        <x:v>25.210168555208917</x:v>
      </x:c>
      <x:c r="U292" s="23" t="b">
        <x:v>0</x:v>
      </x:c>
    </x:row>
    <x:row r="293" ht="22" customHeight="1">
      <x:c r="A293" s="7" t="str">
        <x:v>G shuffle</x:v>
      </x:c>
      <x:c r="B293" s="9" t="n">
        <x:v>2</x:v>
      </x:c>
      <x:c r="C293" s="7" t="str">
        <x:v>Inhibitory</x:v>
      </x:c>
      <x:c r="D293" s="11" t="n">
        <x:v>9639</x:v>
      </x:c>
      <x:c r="E293" s="22" t="n">
        <x:v>0.430485462909205</x:v>
      </x:c>
      <x:c r="F293" s="23" t="b">
        <x:v>0</x:v>
      </x:c>
      <x:c r="G293" s="11" t="n">
        <x:v>2730</x:v>
      </x:c>
      <x:c r="H293" s="11" t="n">
        <x:v>2569</x:v>
      </x:c>
      <x:c r="I293" s="13" t="n">
        <x:v>0.460681741478232</x:v>
      </x:c>
      <x:c r="J293" s="13" t="n">
        <x:v>0.452288732394366</x:v>
      </x:c>
      <x:c r="K293" s="17" t="n">
        <x:v>-0.839300908386537</x:v>
      </x:c>
      <x:c r="L293" s="13" t="n">
        <x:v>0.775824175824176</x:v>
      </x:c>
      <x:c r="M293" s="13" t="n">
        <x:v>0.976190476190476</x:v>
      </x:c>
      <x:c r="N293" s="13" t="n">
        <x:v>0.998901098901099</x:v>
      </x:c>
      <x:c r="O293" s="13" t="n">
        <x:v>0.858699883223044</x:v>
      </x:c>
      <x:c r="P293" s="13" t="n">
        <x:v>0.981704943557805</x:v>
      </x:c>
      <x:c r="Q293" s="13" t="n">
        <x:v>0.99883223043986</x:v>
      </x:c>
      <x:c r="R293" s="15" t="n">
        <x:v>0.996843622007672</x:v>
      </x:c>
      <x:c r="S293" s="17" t="n">
        <x:v>18.518476514529</x:v>
      </x:c>
      <x:c r="T293" s="17" t="n">
        <x:v>15.88987132561036</x:v>
      </x:c>
      <x:c r="U293" s="23" t="b">
        <x:v>0</x:v>
      </x:c>
    </x:row>
    <x:row r="294" ht="22" customHeight="1">
      <x:c r="A294" s="7" t="str">
        <x:v>G shuffle</x:v>
      </x:c>
      <x:c r="B294" s="9" t="n">
        <x:v>2</x:v>
      </x:c>
      <x:c r="C294" s="7" t="str">
        <x:v>Microglia</x:v>
      </x:c>
      <x:c r="D294" s="11" t="n">
        <x:v>454</x:v>
      </x:c>
      <x:c r="E294" s="22" t="n">
        <x:v>0.020276003751507</x:v>
      </x:c>
      <x:c r="F294" s="23" t="b">
        <x:v>1</x:v>
      </x:c>
      <x:c r="G294" s="11" t="n">
        <x:v>140</x:v>
      </x:c>
      <x:c r="H294" s="11" t="n">
        <x:v>114</x:v>
      </x:c>
      <x:c r="I294" s="13" t="n">
        <x:v>0.023624704691191</x:v>
      </x:c>
      <x:c r="J294" s="13" t="n">
        <x:v>0.020070422535211</x:v>
      </x:c>
      <x:c r="K294" s="17" t="n">
        <x:v>-0.355428215598009</x:v>
      </x:c>
      <x:c r="L294" s="13" t="n">
        <x:v>0.042857142857143</x:v>
      </x:c>
      <x:c r="M294" s="13" t="n">
        <x:v>0.142857142857143</x:v>
      </x:c>
      <x:c r="N294" s="13" t="n">
        <x:v>0.564285714285714</x:v>
      </x:c>
      <x:c r="O294" s="13" t="n">
        <x:v>0.06140350877193</x:v>
      </x:c>
      <x:c r="P294" s="13" t="n">
        <x:v>0.184210526315789</x:v>
      </x:c>
      <x:c r="Q294" s="13" t="n">
        <x:v>0.798245614035088</x:v>
      </x:c>
      <x:c r="R294" s="15" t="n">
        <x:v>0.9857533902867</x:v>
      </x:c>
      <x:c r="S294" s="17" t="n">
        <x:v>107.05120471786186</x:v>
      </x:c>
      <x:c r="T294" s="17" t="n">
        <x:v>77.68041125507726</x:v>
      </x:c>
      <x:c r="U294" s="23" t="b">
        <x:v>0</x:v>
      </x:c>
    </x:row>
    <x:row r="295" ht="22" customHeight="1">
      <x:c r="A295" s="7" t="str">
        <x:v>G shuffle</x:v>
      </x:c>
      <x:c r="B295" s="9" t="n">
        <x:v>2</x:v>
      </x:c>
      <x:c r="C295" s="7" t="str">
        <x:v>OD Immature 1</x:v>
      </x:c>
      <x:c r="D295" s="11" t="n">
        <x:v>826</x:v>
      </x:c>
      <x:c r="E295" s="22" t="n">
        <x:v>0.036889821803403</x:v>
      </x:c>
      <x:c r="F295" s="23" t="b">
        <x:v>1</x:v>
      </x:c>
      <x:c r="G295" s="11" t="n">
        <x:v>186</x:v>
      </x:c>
      <x:c r="H295" s="11" t="n">
        <x:v>191</x:v>
      </x:c>
      <x:c r="I295" s="13" t="n">
        <x:v>0.031387107661154</x:v>
      </x:c>
      <x:c r="J295" s="13" t="n">
        <x:v>0.03362676056338</x:v>
      </x:c>
      <x:c r="K295" s="17" t="n">
        <x:v>0.223965290222604</x:v>
      </x:c>
      <x:c r="L295" s="13" t="n">
        <x:v>0.053763440860215</x:v>
      </x:c>
      <x:c r="M295" s="13" t="n">
        <x:v>0.333333333333333</x:v>
      </x:c>
      <x:c r="N295" s="13" t="n">
        <x:v>0.817204301075269</x:v>
      </x:c>
      <x:c r="O295" s="13" t="n">
        <x:v>0.06282722513089</x:v>
      </x:c>
      <x:c r="P295" s="13" t="n">
        <x:v>0.382198952879581</x:v>
      </x:c>
      <x:c r="Q295" s="13" t="n">
        <x:v>0.900523560209424</x:v>
      </x:c>
      <x:c r="R295" s="15" t="n">
        <x:v>0.993048184608661</x:v>
      </x:c>
      <x:c r="S295" s="17" t="n">
        <x:v>70.7962984402804</x:v>
      </x:c>
      <x:c r="T295" s="17" t="n">
        <x:v>59.69545011451181</x:v>
      </x:c>
      <x:c r="U295" s="23" t="b">
        <x:v>0</x:v>
      </x:c>
    </x:row>
    <x:row r="296" ht="22" customHeight="1">
      <x:c r="A296" s="7" t="str">
        <x:v>G shuffle</x:v>
      </x:c>
      <x:c r="B296" s="9" t="n">
        <x:v>2</x:v>
      </x:c>
      <x:c r="C296" s="7" t="str">
        <x:v>OD Immature 2</x:v>
      </x:c>
      <x:c r="D296" s="11" t="n">
        <x:v>28</x:v>
      </x:c>
      <x:c r="E296" s="22" t="n">
        <x:v>0.001250502434014</x:v>
      </x:c>
      <x:c r="F296" s="23" t="b">
        <x:v>1</x:v>
      </x:c>
      <x:c r="G296" s="11" t="n">
        <x:v>5</x:v>
      </x:c>
      <x:c r="H296" s="11" t="n">
        <x:v>6</x:v>
      </x:c>
      <x:c r="I296" s="13" t="n">
        <x:v>0.000843739453257</x:v>
      </x:c>
      <x:c r="J296" s="13" t="n">
        <x:v>0.001056338028169</x:v>
      </x:c>
      <x:c r="K296" s="17" t="n">
        <x:v>0.021259857491218</x:v>
      </x:c>
      <x:c r="L296" s="13" t="n">
        <x:v>0</x:v>
      </x:c>
      <x:c r="M296" s="13" t="n">
        <x:v>0</x:v>
      </x:c>
      <x:c r="N296" s="13" t="n">
        <x:v>0</x:v>
      </x:c>
      <x:c r="O296" s="13" t="n">
        <x:v>0</x:v>
      </x:c>
      <x:c r="P296" s="13" t="n">
        <x:v>0</x:v>
      </x:c>
      <x:c r="Q296" s="13" t="n">
        <x:v>0</x:v>
      </x:c>
      <x:c r="R296" s="15" t="n">
        <x:v>0.722720120929543</x:v>
      </x:c>
      <x:c r="S296" s="17" t="n">
        <x:v>199.61324480621155</x:v>
      </x:c>
      <x:c r="T296" s="17" t="n">
        <x:v>532.4671486516802</x:v>
      </x:c>
      <x:c r="U296" s="23" t="b">
        <x:v>0</x:v>
      </x:c>
    </x:row>
    <x:row r="297" ht="22" customHeight="1">
      <x:c r="A297" s="7" t="str">
        <x:v>G shuffle</x:v>
      </x:c>
      <x:c r="B297" s="9" t="n">
        <x:v>2</x:v>
      </x:c>
      <x:c r="C297" s="7" t="str">
        <x:v>OD Mature 1</x:v>
      </x:c>
      <x:c r="D297" s="11" t="n">
        <x:v>195</x:v>
      </x:c>
      <x:c r="E297" s="22" t="n">
        <x:v>0.008708856236881</x:v>
      </x:c>
      <x:c r="F297" s="23" t="b">
        <x:v>1</x:v>
      </x:c>
      <x:c r="G297" s="11" t="n">
        <x:v>43</x:v>
      </x:c>
      <x:c r="H297" s="11" t="n">
        <x:v>37</x:v>
      </x:c>
      <x:c r="I297" s="13" t="n">
        <x:v>0.007256159298009</x:v>
      </x:c>
      <x:c r="J297" s="13" t="n">
        <x:v>0.006514084507042</x:v>
      </x:c>
      <x:c r="K297" s="17" t="n">
        <x:v>-0.074207479096652</x:v>
      </x:c>
      <x:c r="L297" s="13" t="n">
        <x:v>0.023255813953488</x:v>
      </x:c>
      <x:c r="M297" s="13" t="n">
        <x:v>0.13953488372093</x:v>
      </x:c>
      <x:c r="N297" s="13" t="n">
        <x:v>0.372093023255814</x:v>
      </x:c>
      <x:c r="O297" s="13" t="n">
        <x:v>0.027027027027027</x:v>
      </x:c>
      <x:c r="P297" s="13" t="n">
        <x:v>0.27027027027027</x:v>
      </x:c>
      <x:c r="Q297" s="13" t="n">
        <x:v>0.675675675675676</x:v>
      </x:c>
      <x:c r="R297" s="15" t="n">
        <x:v>0.978723797625453</x:v>
      </x:c>
      <x:c r="S297" s="17" t="n">
        <x:v>147.62928052964654</x:v>
      </x:c>
      <x:c r="T297" s="17" t="n">
        <x:v>94.0158893237081</x:v>
      </x:c>
      <x:c r="U297" s="23" t="b">
        <x:v>0</x:v>
      </x:c>
    </x:row>
    <x:row r="298" ht="22" customHeight="1">
      <x:c r="A298" s="7" t="str">
        <x:v>G shuffle</x:v>
      </x:c>
      <x:c r="B298" s="9" t="n">
        <x:v>2</x:v>
      </x:c>
      <x:c r="C298" s="7" t="str">
        <x:v>OD Mature 2</x:v>
      </x:c>
      <x:c r="D298" s="11" t="n">
        <x:v>936</x:v>
      </x:c>
      <x:c r="E298" s="22" t="n">
        <x:v>0.041802509937028</x:v>
      </x:c>
      <x:c r="F298" s="23" t="b">
        <x:v>1</x:v>
      </x:c>
      <x:c r="G298" s="11" t="n">
        <x:v>217</x:v>
      </x:c>
      <x:c r="H298" s="11" t="n">
        <x:v>221</x:v>
      </x:c>
      <x:c r="I298" s="13" t="n">
        <x:v>0.036618292271347</x:v>
      </x:c>
      <x:c r="J298" s="13" t="n">
        <x:v>0.038908450704225</x:v>
      </x:c>
      <x:c r="K298" s="17" t="n">
        <x:v>0.229015843287874</x:v>
      </x:c>
      <x:c r="L298" s="13" t="n">
        <x:v>0.28110599078341</x:v>
      </x:c>
      <x:c r="M298" s="13" t="n">
        <x:v>0.612903225806452</x:v>
      </x:c>
      <x:c r="N298" s="13" t="n">
        <x:v>0.84331797235023</x:v>
      </x:c>
      <x:c r="O298" s="13" t="n">
        <x:v>0.298642533936652</x:v>
      </x:c>
      <x:c r="P298" s="13" t="n">
        <x:v>0.597285067873303</x:v>
      </x:c>
      <x:c r="Q298" s="13" t="n">
        <x:v>0.846153846153846</x:v>
      </x:c>
      <x:c r="R298" s="15" t="n">
        <x:v>0.996601159487486</x:v>
      </x:c>
      <x:c r="S298" s="17" t="n">
        <x:v>53.65060262518395</x:v>
      </x:c>
      <x:c r="T298" s="17" t="n">
        <x:v>53.681986151946646</x:v>
      </x:c>
      <x:c r="U298" s="23" t="b">
        <x:v>0</x:v>
      </x:c>
    </x:row>
    <x:row r="299" ht="22" customHeight="1">
      <x:c r="A299" s="7" t="str">
        <x:v>G shuffle</x:v>
      </x:c>
      <x:c r="B299" s="9" t="n">
        <x:v>2</x:v>
      </x:c>
      <x:c r="C299" s="7" t="str">
        <x:v>OD Mature 3</x:v>
      </x:c>
      <x:c r="D299" s="11" t="n">
        <x:v>12</x:v>
      </x:c>
      <x:c r="E299" s="22" t="n">
        <x:v>0.000535929614577</x:v>
      </x:c>
      <x:c r="F299" s="23" t="b">
        <x:v>1</x:v>
      </x:c>
      <x:c r="G299" s="11" t="n">
        <x:v>2</x:v>
      </x:c>
      <x:c r="H299" s="11" t="n">
        <x:v>3</x:v>
      </x:c>
      <x:c r="I299" s="13" t="n">
        <x:v>0.000337495781303</x:v>
      </x:c>
      <x:c r="J299" s="13" t="n">
        <x:v>0.000528169014085</x:v>
      </x:c>
      <x:c r="K299" s="17" t="n">
        <x:v>0.019067323278177</x:v>
      </x:c>
      <x:c r="L299" s="13" t="n">
        <x:v>0</x:v>
      </x:c>
      <x:c r="M299" s="13" t="n">
        <x:v>0</x:v>
      </x:c>
      <x:c r="N299" s="13" t="n">
        <x:v>0</x:v>
      </x:c>
      <x:c r="O299" s="13" t="n">
        <x:v>0</x:v>
      </x:c>
      <x:c r="P299" s="13" t="n">
        <x:v>0</x:v>
      </x:c>
      <x:c r="Q299" s="13" t="n">
        <x:v>0</x:v>
      </x:c>
      <x:c r="R299" s="15" t="n">
        <x:v>0.86920425448549</x:v>
      </x:c>
      <x:c r="S299" s="17" t="n">
        <x:v>649.1382825614123</x:v>
      </x:c>
      <x:c r="T299" s="17" t="n">
        <x:v>868.4318660417692</x:v>
      </x:c>
      <x:c r="U299" s="23" t="b">
        <x:v>0</x:v>
      </x:c>
    </x:row>
    <x:row r="300" ht="22" customHeight="1">
      <x:c r="A300" s="7" t="str">
        <x:v>G shuffle</x:v>
      </x:c>
      <x:c r="B300" s="9" t="n">
        <x:v>2</x:v>
      </x:c>
      <x:c r="C300" s="7" t="str">
        <x:v>OD Mature 4</x:v>
      </x:c>
      <x:c r="D300" s="11" t="n">
        <x:v>36</x:v>
      </x:c>
      <x:c r="E300" s="22" t="n">
        <x:v>0.001607788843732</x:v>
      </x:c>
      <x:c r="F300" s="23" t="b">
        <x:v>1</x:v>
      </x:c>
      <x:c r="G300" s="11" t="n">
        <x:v>11</x:v>
      </x:c>
      <x:c r="H300" s="11" t="n">
        <x:v>10</x:v>
      </x:c>
      <x:c r="I300" s="13" t="n">
        <x:v>0.001856226797165</x:v>
      </x:c>
      <x:c r="J300" s="13" t="n">
        <x:v>0.001760563380282</x:v>
      </x:c>
      <x:c r="K300" s="17" t="n">
        <x:v>-0.009566341688334</x:v>
      </x:c>
      <x:c r="L300" s="13" t="n">
        <x:v>0</x:v>
      </x:c>
      <x:c r="M300" s="13" t="n">
        <x:v>0</x:v>
      </x:c>
      <x:c r="N300" s="13" t="n">
        <x:v>0</x:v>
      </x:c>
      <x:c r="O300" s="13" t="n">
        <x:v>0</x:v>
      </x:c>
      <x:c r="P300" s="13" t="n">
        <x:v>0</x:v>
      </x:c>
      <x:c r="Q300" s="13" t="n">
        <x:v>0</x:v>
      </x:c>
      <x:c r="R300" s="15" t="n">
        <x:v>0.860355717344512</x:v>
      </x:c>
      <x:c r="S300" s="17" t="n">
        <x:v>367.3153794625741</x:v>
      </x:c>
      <x:c r="T300" s="17" t="n">
        <x:v>370.133562355134</x:v>
      </x:c>
      <x:c r="U300" s="23" t="b">
        <x:v>0</x:v>
      </x:c>
    </x:row>
    <x:row r="301" ht="22" customHeight="1">
      <x:c r="A301" s="7" t="str">
        <x:v>G shuffle</x:v>
      </x:c>
      <x:c r="B301" s="9" t="n">
        <x:v>2</x:v>
      </x:c>
      <x:c r="C301" s="7" t="str">
        <x:v>Pericytes</x:v>
      </x:c>
      <x:c r="D301" s="11" t="n">
        <x:v>179</x:v>
      </x:c>
      <x:c r="E301" s="22" t="n">
        <x:v>0.007994283417444</x:v>
      </x:c>
      <x:c r="F301" s="23" t="b">
        <x:v>1</x:v>
      </x:c>
      <x:c r="G301" s="11" t="n">
        <x:v>25</x:v>
      </x:c>
      <x:c r="H301" s="11" t="n">
        <x:v>44</x:v>
      </x:c>
      <x:c r="I301" s="13" t="n">
        <x:v>0.004218697266284</x:v>
      </x:c>
      <x:c r="J301" s="13" t="n">
        <x:v>0.007746478873239</x:v>
      </x:c>
      <x:c r="K301" s="17" t="n">
        <x:v>0.352778160695526</x:v>
      </x:c>
      <x:c r="L301" s="13" t="n">
        <x:v>0</x:v>
      </x:c>
      <x:c r="M301" s="13" t="n">
        <x:v>0.28</x:v>
      </x:c>
      <x:c r="N301" s="13" t="n">
        <x:v>0.36</x:v>
      </x:c>
      <x:c r="O301" s="13" t="n">
        <x:v>0</x:v>
      </x:c>
      <x:c r="P301" s="13" t="n">
        <x:v>0.136363636363636</x:v>
      </x:c>
      <x:c r="Q301" s="13" t="n">
        <x:v>0.159090909090909</x:v>
      </x:c>
      <x:c r="R301" s="15" t="n">
        <x:v>0.974756484433269</x:v>
      </x:c>
      <x:c r="S301" s="17" t="n">
        <x:v>130.4415902545299</x:v>
      </x:c>
      <x:c r="T301" s="17" t="n">
        <x:v>227.4995905487736</x:v>
      </x:c>
      <x:c r="U301" s="23" t="b">
        <x:v>0</x:v>
      </x:c>
    </x:row>
    <x:row r="302" ht="22" customHeight="1">
      <x:c r="A302" s="7" t="str">
        <x:v>G shuffle</x:v>
      </x:c>
      <x:c r="B302" s="9" t="n">
        <x:v>3</x:v>
      </x:c>
      <x:c r="C302" s="7" t="str">
        <x:v>Astrocyte</x:v>
      </x:c>
      <x:c r="D302" s="11" t="n">
        <x:v>2742</x:v>
      </x:c>
      <x:c r="E302" s="22" t="n">
        <x:v>0.121790885671138</x:v>
      </x:c>
      <x:c r="F302" s="23" t="b">
        <x:v>0</x:v>
      </x:c>
      <x:c r="G302" s="11" t="n">
        <x:v>664</x:v>
      </x:c>
      <x:c r="H302" s="11" t="n">
        <x:v>709</x:v>
      </x:c>
      <x:c r="I302" s="13" t="n">
        <x:v>0.114423574013441</x:v>
      </x:c>
      <x:c r="J302" s="13" t="n">
        <x:v>0.123626852659111</x:v>
      </x:c>
      <x:c r="K302" s="17" t="n">
        <x:v>0.92032786456694</x:v>
      </x:c>
      <x:c r="L302" s="13" t="n">
        <x:v>0.335843373493976</x:v>
      </x:c>
      <x:c r="M302" s="13" t="n">
        <x:v>0.802710843373494</x:v>
      </x:c>
      <x:c r="N302" s="13" t="n">
        <x:v>0.995481927710843</x:v>
      </x:c>
      <x:c r="O302" s="13" t="n">
        <x:v>0.339915373765867</x:v>
      </x:c>
      <x:c r="P302" s="13" t="n">
        <x:v>0.792665726375176</x:v>
      </x:c>
      <x:c r="Q302" s="13" t="n">
        <x:v>0.997179125528914</x:v>
      </x:c>
      <x:c r="R302" s="15" t="n">
        <x:v>0.995863586611898</x:v>
      </x:c>
      <x:c r="S302" s="17" t="n">
        <x:v>34.753425203963985</x:v>
      </x:c>
      <x:c r="T302" s="17" t="n">
        <x:v>35.164716667482566</x:v>
      </x:c>
      <x:c r="U302" s="23" t="b">
        <x:v>0</x:v>
      </x:c>
    </x:row>
    <x:row r="303" ht="22" customHeight="1">
      <x:c r="A303" s="7" t="str">
        <x:v>G shuffle</x:v>
      </x:c>
      <x:c r="B303" s="9" t="n">
        <x:v>3</x:v>
      </x:c>
      <x:c r="C303" s="7" t="str">
        <x:v>Endothelial 1</x:v>
      </x:c>
      <x:c r="D303" s="11" t="n">
        <x:v>1176</x:v>
      </x:c>
      <x:c r="E303" s="22" t="n">
        <x:v>0.05223416540819</x:v>
      </x:c>
      <x:c r="F303" s="23" t="b">
        <x:v>0</x:v>
      </x:c>
      <x:c r="G303" s="11" t="n">
        <x:v>304</x:v>
      </x:c>
      <x:c r="H303" s="11" t="n">
        <x:v>296</x:v>
      </x:c>
      <x:c r="I303" s="13" t="n">
        <x:v>0.052386696536274</x:v>
      </x:c>
      <x:c r="J303" s="13" t="n">
        <x:v>0.051612903225806</x:v>
      </x:c>
      <x:c r="K303" s="17" t="n">
        <x:v>-0.077379331046789</x:v>
      </x:c>
      <x:c r="L303" s="13" t="n">
        <x:v>0.108552631578947</x:v>
      </x:c>
      <x:c r="M303" s="13" t="n">
        <x:v>0.4375</x:v>
      </x:c>
      <x:c r="N303" s="13" t="n">
        <x:v>0.875</x:v>
      </x:c>
      <x:c r="O303" s="13" t="n">
        <x:v>0.152027027027027</x:v>
      </x:c>
      <x:c r="P303" s="13" t="n">
        <x:v>0.47972972972973</x:v>
      </x:c>
      <x:c r="Q303" s="13" t="n">
        <x:v>0.905405405405405</x:v>
      </x:c>
      <x:c r="R303" s="15" t="n">
        <x:v>0.995296510577794</x:v>
      </x:c>
      <x:c r="S303" s="17" t="n">
        <x:v>60.20465671229672</x:v>
      </x:c>
      <x:c r="T303" s="17" t="n">
        <x:v>54.97609111304253</x:v>
      </x:c>
      <x:c r="U303" s="23" t="b">
        <x:v>0</x:v>
      </x:c>
    </x:row>
    <x:row r="304" ht="22" customHeight="1">
      <x:c r="A304" s="7" t="str">
        <x:v>G shuffle</x:v>
      </x:c>
      <x:c r="B304" s="9" t="n">
        <x:v>3</x:v>
      </x:c>
      <x:c r="C304" s="7" t="str">
        <x:v>Endothelial 2</x:v>
      </x:c>
      <x:c r="D304" s="11" t="n">
        <x:v>117</x:v>
      </x:c>
      <x:c r="E304" s="22" t="n">
        <x:v>0.005196766456427</x:v>
      </x:c>
      <x:c r="F304" s="23" t="b">
        <x:v>1</x:v>
      </x:c>
      <x:c r="G304" s="11" t="n">
        <x:v>27</x:v>
      </x:c>
      <x:c r="H304" s="11" t="n">
        <x:v>18</x:v>
      </x:c>
      <x:c r="I304" s="13" t="n">
        <x:v>0.004652765810788</x:v>
      </x:c>
      <x:c r="J304" s="13" t="n">
        <x:v>0.003138622493461</x:v>
      </x:c>
      <x:c r="K304" s="17" t="n">
        <x:v>-0.151414331732632</x:v>
      </x:c>
      <x:c r="L304" s="13" t="n">
        <x:v>0.037037037037037</x:v>
      </x:c>
      <x:c r="M304" s="13" t="n">
        <x:v>0.074074074074074</x:v>
      </x:c>
      <x:c r="N304" s="13" t="n">
        <x:v>0.222222222222222</x:v>
      </x:c>
      <x:c r="O304" s="13" t="n">
        <x:v>0.055555555555556</x:v>
      </x:c>
      <x:c r="P304" s="13" t="n">
        <x:v>0.111111111111111</x:v>
      </x:c>
      <x:c r="Q304" s="13" t="n">
        <x:v>0.333333333333333</x:v>
      </x:c>
      <x:c r="R304" s="15" t="n">
        <x:v>0.914779478377226</x:v>
      </x:c>
      <x:c r="S304" s="17" t="n">
        <x:v>274.652876156402</x:v>
      </x:c>
      <x:c r="T304" s="17" t="n">
        <x:v>173.21363378905977</x:v>
      </x:c>
      <x:c r="U304" s="23" t="b">
        <x:v>0</x:v>
      </x:c>
    </x:row>
    <x:row r="305" ht="22" customHeight="1">
      <x:c r="A305" s="7" t="str">
        <x:v>G shuffle</x:v>
      </x:c>
      <x:c r="B305" s="9" t="n">
        <x:v>3</x:v>
      </x:c>
      <x:c r="C305" s="7" t="str">
        <x:v>Endothelial 3</x:v>
      </x:c>
      <x:c r="D305" s="11" t="n">
        <x:v>455</x:v>
      </x:c>
      <x:c r="E305" s="22" t="n">
        <x:v>0.02020964733055</x:v>
      </x:c>
      <x:c r="F305" s="23" t="b">
        <x:v>1</x:v>
      </x:c>
      <x:c r="G305" s="11" t="n">
        <x:v>94</x:v>
      </x:c>
      <x:c r="H305" s="11" t="n">
        <x:v>112</x:v>
      </x:c>
      <x:c r="I305" s="13" t="n">
        <x:v>0.016198518007927</x:v>
      </x:c>
      <x:c r="J305" s="13" t="n">
        <x:v>0.019529206625981</x:v>
      </x:c>
      <x:c r="K305" s="17" t="n">
        <x:v>0.333068861805388</x:v>
      </x:c>
      <x:c r="L305" s="13" t="n">
        <x:v>0.053191489361702</x:v>
      </x:c>
      <x:c r="M305" s="13" t="n">
        <x:v>0.191489361702128</x:v>
      </x:c>
      <x:c r="N305" s="13" t="n">
        <x:v>0.574468085106383</x:v>
      </x:c>
      <x:c r="O305" s="13" t="n">
        <x:v>0.053571428571428</x:v>
      </x:c>
      <x:c r="P305" s="13" t="n">
        <x:v>0.205357142857143</x:v>
      </x:c>
      <x:c r="Q305" s="13" t="n">
        <x:v>0.6875</x:v>
      </x:c>
      <x:c r="R305" s="15" t="n">
        <x:v>0.986464883047626</x:v>
      </x:c>
      <x:c r="S305" s="17" t="n">
        <x:v>91.60457514750038</x:v>
      </x:c>
      <x:c r="T305" s="17" t="n">
        <x:v>88.24855449207669</x:v>
      </x:c>
      <x:c r="U305" s="23" t="b">
        <x:v>0</x:v>
      </x:c>
    </x:row>
    <x:row r="306" ht="22" customHeight="1">
      <x:c r="A306" s="7" t="str">
        <x:v>G shuffle</x:v>
      </x:c>
      <x:c r="B306" s="9" t="n">
        <x:v>3</x:v>
      </x:c>
      <x:c r="C306" s="7" t="str">
        <x:v>Ependymal</x:v>
      </x:c>
      <x:c r="D306" s="11" t="n">
        <x:v>1055</x:v>
      </x:c>
      <x:c r="E306" s="22" t="n">
        <x:v>0.046859731722484</x:v>
      </x:c>
      <x:c r="F306" s="23" t="b">
        <x:v>1</x:v>
      </x:c>
      <x:c r="G306" s="11" t="n">
        <x:v>232</x:v>
      </x:c>
      <x:c r="H306" s="11" t="n">
        <x:v>246</x:v>
      </x:c>
      <x:c r="I306" s="13" t="n">
        <x:v>0.039979321040841</x:v>
      </x:c>
      <x:c r="J306" s="13" t="n">
        <x:v>0.042894507410636</x:v>
      </x:c>
      <x:c r="K306" s="17" t="n">
        <x:v>0.291518636979549</x:v>
      </x:c>
      <x:c r="L306" s="13" t="n">
        <x:v>0.887931034482759</x:v>
      </x:c>
      <x:c r="M306" s="13" t="n">
        <x:v>0.987068965517241</x:v>
      </x:c>
      <x:c r="N306" s="13" t="n">
        <x:v>1</x:v>
      </x:c>
      <x:c r="O306" s="13" t="n">
        <x:v>0.764227642276423</x:v>
      </x:c>
      <x:c r="P306" s="13" t="n">
        <x:v>0.934959349593496</x:v>
      </x:c>
      <x:c r="Q306" s="13" t="n">
        <x:v>1</x:v>
      </x:c>
      <x:c r="R306" s="15" t="n">
        <x:v>0.994493937411093</x:v>
      </x:c>
      <x:c r="S306" s="17" t="n">
        <x:v>14.351279633525769</x:v>
      </x:c>
      <x:c r="T306" s="17" t="n">
        <x:v>18.400989075261435</x:v>
      </x:c>
      <x:c r="U306" s="23" t="b">
        <x:v>0</x:v>
      </x:c>
    </x:row>
    <x:row r="307" ht="22" customHeight="1">
      <x:c r="A307" s="7" t="str">
        <x:v>G shuffle</x:v>
      </x:c>
      <x:c r="B307" s="9" t="n">
        <x:v>3</x:v>
      </x:c>
      <x:c r="C307" s="7" t="str">
        <x:v>Excitatory</x:v>
      </x:c>
      <x:c r="D307" s="11" t="n">
        <x:v>4593</x:v>
      </x:c>
      <x:c r="E307" s="22" t="n">
        <x:v>0.204006396020254</x:v>
      </x:c>
      <x:c r="F307" s="23" t="b">
        <x:v>0</x:v>
      </x:c>
      <x:c r="G307" s="11" t="n">
        <x:v>1194</x:v>
      </x:c>
      <x:c r="H307" s="11" t="n">
        <x:v>1217</x:v>
      </x:c>
      <x:c r="I307" s="13" t="n">
        <x:v>0.205755643632604</x:v>
      </x:c>
      <x:c r="J307" s="13" t="n">
        <x:v>0.212205754141238</x:v>
      </x:c>
      <x:c r="K307" s="17" t="n">
        <x:v>0.64501105086342</x:v>
      </x:c>
      <x:c r="L307" s="13" t="n">
        <x:v>0.561139028475712</x:v>
      </x:c>
      <x:c r="M307" s="13" t="n">
        <x:v>0.912060301507538</x:v>
      </x:c>
      <x:c r="N307" s="13" t="n">
        <x:v>1</x:v>
      </x:c>
      <x:c r="O307" s="13" t="n">
        <x:v>0.595727198027938</x:v>
      </x:c>
      <x:c r="P307" s="13" t="n">
        <x:v>0.911257189811011</x:v>
      </x:c>
      <x:c r="Q307" s="13" t="n">
        <x:v>1</x:v>
      </x:c>
      <x:c r="R307" s="15" t="n">
        <x:v>0.994159717456246</x:v>
      </x:c>
      <x:c r="S307" s="17" t="n">
        <x:v>26.377589562705392</x:v>
      </x:c>
      <x:c r="T307" s="17" t="n">
        <x:v>25.51774818460752</x:v>
      </x:c>
      <x:c r="U307" s="23" t="b">
        <x:v>0</x:v>
      </x:c>
    </x:row>
    <x:row r="308" ht="22" customHeight="1">
      <x:c r="A308" s="7" t="str">
        <x:v>G shuffle</x:v>
      </x:c>
      <x:c r="B308" s="9" t="n">
        <x:v>3</x:v>
      </x:c>
      <x:c r="C308" s="7" t="str">
        <x:v>Inhibitory</x:v>
      </x:c>
      <x:c r="D308" s="11" t="n">
        <x:v>9762</x:v>
      </x:c>
      <x:c r="E308" s="22" t="n">
        <x:v>0.433596873056765</x:v>
      </x:c>
      <x:c r="F308" s="23" t="b">
        <x:v>0</x:v>
      </x:c>
      <x:c r="G308" s="11" t="n">
        <x:v>2607</x:v>
      </x:c>
      <x:c r="H308" s="11" t="n">
        <x:v>2469</x:v>
      </x:c>
      <x:c r="I308" s="13" t="n">
        <x:v>0.449250387730484</x:v>
      </x:c>
      <x:c r="J308" s="13" t="n">
        <x:v>0.430514385353095</x:v>
      </x:c>
      <x:c r="K308" s="17" t="n">
        <x:v>-1.87360023773892</x:v>
      </x:c>
      <x:c r="L308" s="13" t="n">
        <x:v>0.769850402761795</x:v>
      </x:c>
      <x:c r="M308" s="13" t="n">
        <x:v>0.986191024165708</x:v>
      </x:c>
      <x:c r="N308" s="13" t="n">
        <x:v>0.998849252013809</x:v>
      </x:c>
      <x:c r="O308" s="13" t="n">
        <x:v>0.840016200891049</x:v>
      </x:c>
      <x:c r="P308" s="13" t="n">
        <x:v>0.975293641150263</x:v>
      </x:c>
      <x:c r="Q308" s="13" t="n">
        <x:v>0.994734710409072</x:v>
      </x:c>
      <x:c r="R308" s="15" t="n">
        <x:v>0.99511989635301</x:v>
      </x:c>
      <x:c r="S308" s="17" t="n">
        <x:v>18.371766999611705</x:v>
      </x:c>
      <x:c r="T308" s="17" t="n">
        <x:v>16.987583317108506</x:v>
      </x:c>
      <x:c r="U308" s="23" t="b">
        <x:v>0</x:v>
      </x:c>
    </x:row>
    <x:row r="309" ht="22" customHeight="1">
      <x:c r="A309" s="7" t="str">
        <x:v>G shuffle</x:v>
      </x:c>
      <x:c r="B309" s="9" t="n">
        <x:v>3</x:v>
      </x:c>
      <x:c r="C309" s="7" t="str">
        <x:v>Microglia</x:v>
      </x:c>
      <x:c r="D309" s="11" t="n">
        <x:v>473</x:v>
      </x:c>
      <x:c r="E309" s="22" t="n">
        <x:v>0.021009149862308</x:v>
      </x:c>
      <x:c r="F309" s="23" t="b">
        <x:v>1</x:v>
      </x:c>
      <x:c r="G309" s="11" t="n">
        <x:v>121</x:v>
      </x:c>
      <x:c r="H309" s="11" t="n">
        <x:v>122</x:v>
      </x:c>
      <x:c r="I309" s="13" t="n">
        <x:v>0.020851283818714</x:v>
      </x:c>
      <x:c r="J309" s="13" t="n">
        <x:v>0.021272885789015</x:v>
      </x:c>
      <x:c r="K309" s="17" t="n">
        <x:v>0.042160197030036</x:v>
      </x:c>
      <x:c r="L309" s="13" t="n">
        <x:v>0.049586776859504</x:v>
      </x:c>
      <x:c r="M309" s="13" t="n">
        <x:v>0.15702479338843</x:v>
      </x:c>
      <x:c r="N309" s="13" t="n">
        <x:v>0.578512396694215</x:v>
      </x:c>
      <x:c r="O309" s="13" t="n">
        <x:v>0.065573770491803</x:v>
      </x:c>
      <x:c r="P309" s="13" t="n">
        <x:v>0.221311475409836</x:v>
      </x:c>
      <x:c r="Q309" s="13" t="n">
        <x:v>0.713114754098361</x:v>
      </x:c>
      <x:c r="R309" s="15" t="n">
        <x:v>0.984753027360152</x:v>
      </x:c>
      <x:c r="S309" s="17" t="n">
        <x:v>96.53739722929068</x:v>
      </x:c>
      <x:c r="T309" s="17" t="n">
        <x:v>82.36103895674988</x:v>
      </x:c>
      <x:c r="U309" s="23" t="b">
        <x:v>0</x:v>
      </x:c>
    </x:row>
    <x:row r="310" ht="22" customHeight="1">
      <x:c r="A310" s="7" t="str">
        <x:v>G shuffle</x:v>
      </x:c>
      <x:c r="B310" s="9" t="n">
        <x:v>3</x:v>
      </x:c>
      <x:c r="C310" s="7" t="str">
        <x:v>OD Immature 1</x:v>
      </x:c>
      <x:c r="D310" s="11" t="n">
        <x:v>814</x:v>
      </x:c>
      <x:c r="E310" s="22" t="n">
        <x:v>0.03615528115839</x:v>
      </x:c>
      <x:c r="F310" s="23" t="b">
        <x:v>1</x:v>
      </x:c>
      <x:c r="G310" s="11" t="n">
        <x:v>198</x:v>
      </x:c>
      <x:c r="H310" s="11" t="n">
        <x:v>206</x:v>
      </x:c>
      <x:c r="I310" s="13" t="n">
        <x:v>0.034120282612442</x:v>
      </x:c>
      <x:c r="J310" s="13" t="n">
        <x:v>0.0359197907585</x:v>
      </x:c>
      <x:c r="K310" s="17" t="n">
        <x:v>0.179950814605859</x:v>
      </x:c>
      <x:c r="L310" s="13" t="n">
        <x:v>0.111111111111111</x:v>
      </x:c>
      <x:c r="M310" s="13" t="n">
        <x:v>0.383838383838384</x:v>
      </x:c>
      <x:c r="N310" s="13" t="n">
        <x:v>0.838383838383838</x:v>
      </x:c>
      <x:c r="O310" s="13" t="n">
        <x:v>0.106796116504854</x:v>
      </x:c>
      <x:c r="P310" s="13" t="n">
        <x:v>0.388349514563107</x:v>
      </x:c>
      <x:c r="Q310" s="13" t="n">
        <x:v>0.878640776699029</x:v>
      </x:c>
      <x:c r="R310" s="15" t="n">
        <x:v>0.992848738521343</x:v>
      </x:c>
      <x:c r="S310" s="17" t="n">
        <x:v>64.50970951219828</x:v>
      </x:c>
      <x:c r="T310" s="17" t="n">
        <x:v>62.01756258337903</x:v>
      </x:c>
      <x:c r="U310" s="23" t="b">
        <x:v>0</x:v>
      </x:c>
    </x:row>
    <x:row r="311" ht="22" customHeight="1">
      <x:c r="A311" s="7" t="str">
        <x:v>G shuffle</x:v>
      </x:c>
      <x:c r="B311" s="9" t="n">
        <x:v>3</x:v>
      </x:c>
      <x:c r="C311" s="7" t="str">
        <x:v>OD Immature 2</x:v>
      </x:c>
      <x:c r="D311" s="11" t="n">
        <x:v>26</x:v>
      </x:c>
      <x:c r="E311" s="22" t="n">
        <x:v>0.001154836990317</x:v>
      </x:c>
      <x:c r="F311" s="23" t="b">
        <x:v>1</x:v>
      </x:c>
      <x:c r="G311" s="11" t="n">
        <x:v>7</x:v>
      </x:c>
      <x:c r="H311" s="11" t="n">
        <x:v>6</x:v>
      </x:c>
      <x:c r="I311" s="13" t="n">
        <x:v>0.001206272617612</x:v>
      </x:c>
      <x:c r="J311" s="13" t="n">
        <x:v>0.00104620749782</x:v>
      </x:c>
      <x:c r="K311" s="17" t="n">
        <x:v>-0.016006511979118</x:v>
      </x:c>
      <x:c r="L311" s="13" t="n">
        <x:v>0</x:v>
      </x:c>
      <x:c r="M311" s="13" t="n">
        <x:v>0</x:v>
      </x:c>
      <x:c r="N311" s="13" t="n">
        <x:v>0</x:v>
      </x:c>
      <x:c r="O311" s="13" t="n">
        <x:v>0</x:v>
      </x:c>
      <x:c r="P311" s="13" t="n">
        <x:v>0</x:v>
      </x:c>
      <x:c r="Q311" s="13" t="n">
        <x:v>0</x:v>
      </x:c>
      <x:c r="R311" s="15" t="n">
        <x:v>0.73579252945875</x:v>
      </x:c>
      <x:c r="S311" s="17" t="n">
        <x:v>357.4757134104531</x:v>
      </x:c>
      <x:c r="T311" s="17" t="n">
        <x:v>317.9265746617543</x:v>
      </x:c>
      <x:c r="U311" s="23" t="b">
        <x:v>0</x:v>
      </x:c>
    </x:row>
    <x:row r="312" ht="22" customHeight="1">
      <x:c r="A312" s="7" t="str">
        <x:v>G shuffle</x:v>
      </x:c>
      <x:c r="B312" s="9" t="n">
        <x:v>3</x:v>
      </x:c>
      <x:c r="C312" s="7" t="str">
        <x:v>OD Mature 1</x:v>
      </x:c>
      <x:c r="D312" s="11" t="n">
        <x:v>192</x:v>
      </x:c>
      <x:c r="E312" s="22" t="n">
        <x:v>0.008528027005419</x:v>
      </x:c>
      <x:c r="F312" s="23" t="b">
        <x:v>1</x:v>
      </x:c>
      <x:c r="G312" s="11" t="n">
        <x:v>46</x:v>
      </x:c>
      <x:c r="H312" s="11" t="n">
        <x:v>46</x:v>
      </x:c>
      <x:c r="I312" s="13" t="n">
        <x:v>0.007926934344305</x:v>
      </x:c>
      <x:c r="J312" s="13" t="n">
        <x:v>0.008020924149956</x:v>
      </x:c>
      <x:c r="K312" s="17" t="n">
        <x:v>0.009398980565174</x:v>
      </x:c>
      <x:c r="L312" s="13" t="n">
        <x:v>0.043478260869565</x:v>
      </x:c>
      <x:c r="M312" s="13" t="n">
        <x:v>0.239130434782609</x:v>
      </x:c>
      <x:c r="N312" s="13" t="n">
        <x:v>0.608695652173913</x:v>
      </x:c>
      <x:c r="O312" s="13" t="n">
        <x:v>0.065217391304348</x:v>
      </x:c>
      <x:c r="P312" s="13" t="n">
        <x:v>0.282608695652174</x:v>
      </x:c>
      <x:c r="Q312" s="13" t="n">
        <x:v>0.58695652173913</x:v>
      </x:c>
      <x:c r="R312" s="15" t="n">
        <x:v>0.99015443578185</x:v>
      </x:c>
      <x:c r="S312" s="17" t="n">
        <x:v>102.38989272479562</x:v>
      </x:c>
      <x:c r="T312" s="17" t="n">
        <x:v>111.55692268387229</x:v>
      </x:c>
      <x:c r="U312" s="23" t="b">
        <x:v>0</x:v>
      </x:c>
    </x:row>
    <x:row r="313" ht="22" customHeight="1">
      <x:c r="A313" s="7" t="str">
        <x:v>G shuffle</x:v>
      </x:c>
      <x:c r="B313" s="9" t="n">
        <x:v>3</x:v>
      </x:c>
      <x:c r="C313" s="7" t="str">
        <x:v>OD Mature 2</x:v>
      </x:c>
      <x:c r="D313" s="11" t="n">
        <x:v>907</x:v>
      </x:c>
      <x:c r="E313" s="22" t="n">
        <x:v>0.04028604423914</x:v>
      </x:c>
      <x:c r="F313" s="23" t="b">
        <x:v>1</x:v>
      </x:c>
      <x:c r="G313" s="11" t="n">
        <x:v>246</x:v>
      </x:c>
      <x:c r="H313" s="11" t="n">
        <x:v>230</x:v>
      </x:c>
      <x:c r="I313" s="13" t="n">
        <x:v>0.042391866276064</x:v>
      </x:c>
      <x:c r="J313" s="13" t="n">
        <x:v>0.040104620749782</x:v>
      </x:c>
      <x:c r="K313" s="17" t="n">
        <x:v>-0.228724552628206</x:v>
      </x:c>
      <x:c r="L313" s="13" t="n">
        <x:v>0.308943089430894</x:v>
      </x:c>
      <x:c r="M313" s="13" t="n">
        <x:v>0.605691056910569</x:v>
      </x:c>
      <x:c r="N313" s="13" t="n">
        <x:v>0.845528455284553</x:v>
      </x:c>
      <x:c r="O313" s="13" t="n">
        <x:v>0.326086956521739</x:v>
      </x:c>
      <x:c r="P313" s="13" t="n">
        <x:v>0.621739130434783</x:v>
      </x:c>
      <x:c r="Q313" s="13" t="n">
        <x:v>0.939130434782609</x:v>
      </x:c>
      <x:c r="R313" s="15" t="n">
        <x:v>0.997280977962129</x:v>
      </x:c>
      <x:c r="S313" s="17" t="n">
        <x:v>57.23961823835882</x:v>
      </x:c>
      <x:c r="T313" s="17" t="n">
        <x:v>46.47689284337069</x:v>
      </x:c>
      <x:c r="U313" s="23" t="b">
        <x:v>0</x:v>
      </x:c>
    </x:row>
    <x:row r="314" ht="22" customHeight="1">
      <x:c r="A314" s="7" t="str">
        <x:v>G shuffle</x:v>
      </x:c>
      <x:c r="B314" s="9" t="n">
        <x:v>3</x:v>
      </x:c>
      <x:c r="C314" s="7" t="str">
        <x:v>OD Mature 3</x:v>
      </x:c>
      <x:c r="D314" s="11" t="n">
        <x:v>11</x:v>
      </x:c>
      <x:c r="E314" s="22" t="n">
        <x:v>0.000488584880519</x:v>
      </x:c>
      <x:c r="F314" s="23" t="b">
        <x:v>1</x:v>
      </x:c>
      <x:c r="G314" s="11" t="n">
        <x:v>3</x:v>
      </x:c>
      <x:c r="H314" s="11" t="n">
        <x:v>4</x:v>
      </x:c>
      <x:c r="I314" s="13" t="n">
        <x:v>0.000516973978976</x:v>
      </x:c>
      <x:c r="J314" s="13" t="n">
        <x:v>0.000697471665214</x:v>
      </x:c>
      <x:c r="K314" s="17" t="n">
        <x:v>0.018049768623721</x:v>
      </x:c>
      <x:c r="L314" s="13" t="n">
        <x:v>0</x:v>
      </x:c>
      <x:c r="M314" s="13" t="n">
        <x:v>0</x:v>
      </x:c>
      <x:c r="N314" s="13" t="n">
        <x:v>0</x:v>
      </x:c>
      <x:c r="O314" s="13" t="n">
        <x:v>0</x:v>
      </x:c>
      <x:c r="P314" s="13" t="n">
        <x:v>0</x:v>
      </x:c>
      <x:c r="Q314" s="13" t="n">
        <x:v>0</x:v>
      </x:c>
      <x:c r="R314" s="15" t="n">
        <x:v>0.867592154440747</x:v>
      </x:c>
      <x:c r="S314" s="17" t="n">
        <x:v>675.0092507177918</x:v>
      </x:c>
      <x:c r="T314" s="17" t="n">
        <x:v>591.7616878896163</x:v>
      </x:c>
      <x:c r="U314" s="23" t="b">
        <x:v>0</x:v>
      </x:c>
    </x:row>
    <x:row r="315" ht="22" customHeight="1">
      <x:c r="A315" s="7" t="str">
        <x:v>G shuffle</x:v>
      </x:c>
      <x:c r="B315" s="9" t="n">
        <x:v>3</x:v>
      </x:c>
      <x:c r="C315" s="7" t="str">
        <x:v>OD Mature 4</x:v>
      </x:c>
      <x:c r="D315" s="11" t="n">
        <x:v>39</x:v>
      </x:c>
      <x:c r="E315" s="22" t="n">
        <x:v>0.001732255485476</x:v>
      </x:c>
      <x:c r="F315" s="23" t="b">
        <x:v>1</x:v>
      </x:c>
      <x:c r="G315" s="11" t="n">
        <x:v>8</x:v>
      </x:c>
      <x:c r="H315" s="11" t="n">
        <x:v>10</x:v>
      </x:c>
      <x:c r="I315" s="13" t="n">
        <x:v>0.00137859727727</x:v>
      </x:c>
      <x:c r="J315" s="13" t="n">
        <x:v>0.001743679163034</x:v>
      </x:c>
      <x:c r="K315" s="17" t="n">
        <x:v>0.036508188576362</x:v>
      </x:c>
      <x:c r="L315" s="13" t="n">
        <x:v>0.125</x:v>
      </x:c>
      <x:c r="M315" s="13" t="n">
        <x:v>0.25</x:v>
      </x:c>
      <x:c r="N315" s="13" t="n">
        <x:v>0.625</x:v>
      </x:c>
      <x:c r="O315" s="13" t="n">
        <x:v>0.1</x:v>
      </x:c>
      <x:c r="P315" s="13" t="n">
        <x:v>0.3</x:v>
      </x:c>
      <x:c r="Q315" s="13" t="n">
        <x:v>0.3</x:v>
      </x:c>
      <x:c r="R315" s="15" t="n">
        <x:v>0.964075708969525</x:v>
      </x:c>
      <x:c r="S315" s="17" t="n">
        <x:v>502.6500779461721</x:v>
      </x:c>
      <x:c r="T315" s="17" t="n">
        <x:v>362.6680829819603</x:v>
      </x:c>
      <x:c r="U315" s="23" t="b">
        <x:v>0</x:v>
      </x:c>
    </x:row>
    <x:row r="316" ht="22" customHeight="1">
      <x:c r="A316" s="7" t="str">
        <x:v>G shuffle</x:v>
      </x:c>
      <x:c r="B316" s="9" t="n">
        <x:v>3</x:v>
      </x:c>
      <x:c r="C316" s="7" t="str">
        <x:v>Pericytes</x:v>
      </x:c>
      <x:c r="D316" s="11" t="n">
        <x:v>152</x:v>
      </x:c>
      <x:c r="E316" s="22" t="n">
        <x:v>0.006751354712623</x:v>
      </x:c>
      <x:c r="F316" s="23" t="b">
        <x:v>1</x:v>
      </x:c>
      <x:c r="G316" s="11" t="n">
        <x:v>52</x:v>
      </x:c>
      <x:c r="H316" s="11" t="n">
        <x:v>44</x:v>
      </x:c>
      <x:c r="I316" s="13" t="n">
        <x:v>0.008960882302257</x:v>
      </x:c>
      <x:c r="J316" s="13" t="n">
        <x:v>0.00767218831735</x:v>
      </x:c>
      <x:c r="K316" s="17" t="n">
        <x:v>-0.128869398490784</x:v>
      </x:c>
      <x:c r="L316" s="13" t="n">
        <x:v>0.134615384615385</x:v>
      </x:c>
      <x:c r="M316" s="13" t="n">
        <x:v>0.365384615384615</x:v>
      </x:c>
      <x:c r="N316" s="13" t="n">
        <x:v>0.769230769230769</x:v>
      </x:c>
      <x:c r="O316" s="13" t="n">
        <x:v>0.045454545454545</x:v>
      </x:c>
      <x:c r="P316" s="13" t="n">
        <x:v>0.295454545454545</x:v>
      </x:c>
      <x:c r="Q316" s="13" t="n">
        <x:v>0.454545454545454</x:v>
      </x:c>
      <x:c r="R316" s="15" t="n">
        <x:v>0.945653608627144</x:v>
      </x:c>
      <x:c r="S316" s="17" t="n">
        <x:v>116.86741229152804</x:v>
      </x:c>
      <x:c r="T316" s="17" t="n">
        <x:v>149.22432973734638</x:v>
      </x:c>
      <x:c r="U316" s="2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d75c6c419e41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0" hidden="0" customWidth="1"/>
    <x:col min="4" max="4" width="43" hidden="0" customWidth="1"/>
    <x:col min="5" max="5" width="18" hidden="0" customWidth="1"/>
    <x:col min="6" max="6" width="18" hidden="0" customWidth="1"/>
    <x:col min="7" max="7" width="22" hidden="0" customWidth="1"/>
  </x:cols>
  <x:sheetData>
    <x:row r="1" ht="42" customHeight="1">
      <x:c r="A1" s="6" t="str">
        <x:v>比较基线</x:v>
      </x:c>
      <x:c r="B1" s="6" t="str">
        <x:v>比较方法</x:v>
      </x:c>
      <x:c r="C1" s="6" t="str">
        <x:v>留出切片</x:v>
      </x:c>
      <x:c r="D1" s="6" t="str">
        <x:v>指标名称</x:v>
      </x:c>
      <x:c r="E1" s="6" t="str">
        <x:v>基线原始值</x:v>
      </x:c>
      <x:c r="F1" s="6" t="str">
        <x:v>G real原始值</x:v>
      </x:c>
      <x:c r="G1" s="6" t="str">
        <x:v>差值(原始单位)</x:v>
      </x:c>
    </x:row>
    <x:row r="2" ht="22" customHeight="1">
      <x:c r="A2" s="7" t="str">
        <x:v>S</x:v>
      </x:c>
      <x:c r="B2" s="7" t="str">
        <x:v>G real</x:v>
      </x:c>
      <x:c r="C2" s="9" t="n">
        <x:v>1</x:v>
      </x:c>
      <x:c r="D2" s="7" t="str">
        <x:v>rare_macro_coverage_recall_25um</x:v>
      </x:c>
      <x:c r="E2" s="25" t="n">
        <x:v>0.133087320956815</x:v>
      </x:c>
      <x:c r="F2" s="25" t="n">
        <x:v>0.135075472236211</x:v>
      </x:c>
      <x:c r="G2" s="27" t="n">
        <x:v>0.001988151279396</x:v>
      </x:c>
    </x:row>
    <x:row r="3" ht="22" customHeight="1">
      <x:c r="A3" s="7" t="str">
        <x:v>S</x:v>
      </x:c>
      <x:c r="B3" s="7" t="str">
        <x:v>G real</x:v>
      </x:c>
      <x:c r="C3" s="9" t="n">
        <x:v>2</x:v>
      </x:c>
      <x:c r="D3" s="7" t="str">
        <x:v>rare_macro_coverage_recall_25um</x:v>
      </x:c>
      <x:c r="E3" s="25" t="n">
        <x:v>0.139474634103361</x:v>
      </x:c>
      <x:c r="F3" s="25" t="n">
        <x:v>0.127644562082212</x:v>
      </x:c>
      <x:c r="G3" s="27" t="n">
        <x:v>-0.011830072021149</x:v>
      </x:c>
    </x:row>
    <x:row r="4" ht="22" customHeight="1">
      <x:c r="A4" s="7" t="str">
        <x:v>S</x:v>
      </x:c>
      <x:c r="B4" s="7" t="str">
        <x:v>G real</x:v>
      </x:c>
      <x:c r="C4" s="9" t="n">
        <x:v>3</x:v>
      </x:c>
      <x:c r="D4" s="7" t="str">
        <x:v>rare_macro_coverage_recall_25um</x:v>
      </x:c>
      <x:c r="E4" s="25" t="n">
        <x:v>0.14870169818385</x:v>
      </x:c>
      <x:c r="F4" s="25" t="n">
        <x:v>0.160404110035762</x:v>
      </x:c>
      <x:c r="G4" s="27" t="n">
        <x:v>0.011702411851911</x:v>
      </x:c>
    </x:row>
    <x:row r="5" ht="22" customHeight="1">
      <x:c r="A5" s="7" t="str">
        <x:v>S</x:v>
      </x:c>
      <x:c r="B5" s="7" t="str">
        <x:v>G real</x:v>
      </x:c>
      <x:c r="C5" s="9" t="n">
        <x:v>1</x:v>
      </x:c>
      <x:c r="D5" s="7" t="str">
        <x:v>rare_macro_coverage_recall_50um</x:v>
      </x:c>
      <x:c r="E5" s="25" t="n">
        <x:v>0.232402384668158</x:v>
      </x:c>
      <x:c r="F5" s="25" t="n">
        <x:v>0.260004280806308</x:v>
      </x:c>
      <x:c r="G5" s="27" t="n">
        <x:v>0.02760189613815</x:v>
      </x:c>
    </x:row>
    <x:row r="6" ht="22" customHeight="1">
      <x:c r="A6" s="7" t="str">
        <x:v>S</x:v>
      </x:c>
      <x:c r="B6" s="7" t="str">
        <x:v>G real</x:v>
      </x:c>
      <x:c r="C6" s="9" t="n">
        <x:v>2</x:v>
      </x:c>
      <x:c r="D6" s="7" t="str">
        <x:v>rare_macro_coverage_recall_50um</x:v>
      </x:c>
      <x:c r="E6" s="25" t="n">
        <x:v>0.230124530091508</x:v>
      </x:c>
      <x:c r="F6" s="25" t="n">
        <x:v>0.253607958522982</x:v>
      </x:c>
      <x:c r="G6" s="27" t="n">
        <x:v>0.023483428431474</x:v>
      </x:c>
    </x:row>
    <x:row r="7" ht="22" customHeight="1">
      <x:c r="A7" s="7" t="str">
        <x:v>S</x:v>
      </x:c>
      <x:c r="B7" s="7" t="str">
        <x:v>G real</x:v>
      </x:c>
      <x:c r="C7" s="9" t="n">
        <x:v>3</x:v>
      </x:c>
      <x:c r="D7" s="7" t="str">
        <x:v>rare_macro_coverage_recall_50um</x:v>
      </x:c>
      <x:c r="E7" s="25" t="n">
        <x:v>0.259559075887155</x:v>
      </x:c>
      <x:c r="F7" s="25" t="n">
        <x:v>0.296605752779657</x:v>
      </x:c>
      <x:c r="G7" s="27" t="n">
        <x:v>0.037046676892502</x:v>
      </x:c>
    </x:row>
    <x:row r="8" ht="22" customHeight="1">
      <x:c r="A8" s="7" t="str">
        <x:v>S</x:v>
      </x:c>
      <x:c r="B8" s="7" t="str">
        <x:v>G real</x:v>
      </x:c>
      <x:c r="C8" s="9" t="n">
        <x:v>1</x:v>
      </x:c>
      <x:c r="D8" s="7" t="str">
        <x:v>rare_macro_coverage_recall_100um</x:v>
      </x:c>
      <x:c r="E8" s="25" t="n">
        <x:v>0.446734060382441</x:v>
      </x:c>
      <x:c r="F8" s="25" t="n">
        <x:v>0.509504589245666</x:v>
      </x:c>
      <x:c r="G8" s="27" t="n">
        <x:v>0.062770528863225</x:v>
      </x:c>
    </x:row>
    <x:row r="9" ht="22" customHeight="1">
      <x:c r="A9" s="7" t="str">
        <x:v>S</x:v>
      </x:c>
      <x:c r="B9" s="7" t="str">
        <x:v>G real</x:v>
      </x:c>
      <x:c r="C9" s="9" t="n">
        <x:v>2</x:v>
      </x:c>
      <x:c r="D9" s="7" t="str">
        <x:v>rare_macro_coverage_recall_100um</x:v>
      </x:c>
      <x:c r="E9" s="25" t="n">
        <x:v>0.445610530601363</x:v>
      </x:c>
      <x:c r="F9" s="25" t="n">
        <x:v>0.436342345887194</x:v>
      </x:c>
      <x:c r="G9" s="27" t="n">
        <x:v>-0.009268184714169</x:v>
      </x:c>
    </x:row>
    <x:row r="10" ht="22" customHeight="1">
      <x:c r="A10" s="7" t="str">
        <x:v>S</x:v>
      </x:c>
      <x:c r="B10" s="7" t="str">
        <x:v>G real</x:v>
      </x:c>
      <x:c r="C10" s="9" t="n">
        <x:v>3</x:v>
      </x:c>
      <x:c r="D10" s="7" t="str">
        <x:v>rare_macro_coverage_recall_100um</x:v>
      </x:c>
      <x:c r="E10" s="25" t="n">
        <x:v>0.487983774555039</x:v>
      </x:c>
      <x:c r="F10" s="25" t="n">
        <x:v>0.54789033579648</x:v>
      </x:c>
      <x:c r="G10" s="27" t="n">
        <x:v>0.059906561241441</x:v>
      </x:c>
    </x:row>
    <x:row r="11" ht="22" customHeight="1">
      <x:c r="A11" s="7" t="str">
        <x:v>S</x:v>
      </x:c>
      <x:c r="B11" s="7" t="str">
        <x:v>G real</x:v>
      </x:c>
      <x:c r="C11" s="9" t="n">
        <x:v>1</x:v>
      </x:c>
      <x:c r="D11" s="7" t="str">
        <x:v>rare_micro_recall_100um</x:v>
      </x:c>
      <x:c r="E11" s="25" t="n">
        <x:v>0.771980676328502</x:v>
      </x:c>
      <x:c r="F11" s="25" t="n">
        <x:v>0.775845410628019</x:v>
      </x:c>
      <x:c r="G11" s="27" t="n">
        <x:v>0.003864734299517</x:v>
      </x:c>
    </x:row>
    <x:row r="12" ht="22" customHeight="1">
      <x:c r="A12" s="7" t="str">
        <x:v>S</x:v>
      </x:c>
      <x:c r="B12" s="7" t="str">
        <x:v>G real</x:v>
      </x:c>
      <x:c r="C12" s="9" t="n">
        <x:v>2</x:v>
      </x:c>
      <x:c r="D12" s="7" t="str">
        <x:v>rare_micro_recall_100um</x:v>
      </x:c>
      <x:c r="E12" s="25" t="n">
        <x:v>0.751461988304094</x:v>
      </x:c>
      <x:c r="F12" s="25" t="n">
        <x:v>0.752436647173489</x:v>
      </x:c>
      <x:c r="G12" s="27" t="n">
        <x:v>0.000974658869396</x:v>
      </x:c>
    </x:row>
    <x:row r="13" ht="22" customHeight="1">
      <x:c r="A13" s="7" t="str">
        <x:v>S</x:v>
      </x:c>
      <x:c r="B13" s="7" t="str">
        <x:v>G real</x:v>
      </x:c>
      <x:c r="C13" s="9" t="n">
        <x:v>3</x:v>
      </x:c>
      <x:c r="D13" s="7" t="str">
        <x:v>rare_micro_recall_100um</x:v>
      </x:c>
      <x:c r="E13" s="25" t="n">
        <x:v>0.78046421663443</x:v>
      </x:c>
      <x:c r="F13" s="25" t="n">
        <x:v>0.779497098646035</x:v>
      </x:c>
      <x:c r="G13" s="27" t="n">
        <x:v>-0.000967117988395</x:v>
      </x:c>
    </x:row>
    <x:row r="14" ht="22" customHeight="1">
      <x:c r="A14" s="7" t="str">
        <x:v>S</x:v>
      </x:c>
      <x:c r="B14" s="7" t="str">
        <x:v>G real</x:v>
      </x:c>
      <x:c r="C14" s="9" t="n">
        <x:v>1</x:v>
      </x:c>
      <x:c r="D14" s="7" t="str">
        <x:v>rare_micro_precision_100um</x:v>
      </x:c>
      <x:c r="E14" s="25" t="n">
        <x:v>0.81058495821727</x:v>
      </x:c>
      <x:c r="F14" s="25" t="n">
        <x:v>0.813370473537604</x:v>
      </x:c>
      <x:c r="G14" s="27" t="n">
        <x:v>0.002785515320334</x:v>
      </x:c>
    </x:row>
    <x:row r="15" ht="22" customHeight="1">
      <x:c r="A15" s="7" t="str">
        <x:v>S</x:v>
      </x:c>
      <x:c r="B15" s="7" t="str">
        <x:v>G real</x:v>
      </x:c>
      <x:c r="C15" s="9" t="n">
        <x:v>2</x:v>
      </x:c>
      <x:c r="D15" s="7" t="str">
        <x:v>rare_micro_precision_100um</x:v>
      </x:c>
      <x:c r="E15" s="25" t="n">
        <x:v>0.802898550724638</x:v>
      </x:c>
      <x:c r="F15" s="25" t="n">
        <x:v>0.785507246376812</x:v>
      </x:c>
      <x:c r="G15" s="27" t="n">
        <x:v>-0.017391304347826</x:v>
      </x:c>
    </x:row>
    <x:row r="16" ht="22" customHeight="1">
      <x:c r="A16" s="7" t="str">
        <x:v>S</x:v>
      </x:c>
      <x:c r="B16" s="7" t="str">
        <x:v>G real</x:v>
      </x:c>
      <x:c r="C16" s="9" t="n">
        <x:v>3</x:v>
      </x:c>
      <x:c r="D16" s="7" t="str">
        <x:v>rare_micro_precision_100um</x:v>
      </x:c>
      <x:c r="E16" s="25" t="n">
        <x:v>0.805555555555556</x:v>
      </x:c>
      <x:c r="F16" s="25" t="n">
        <x:v>0.831417624521073</x:v>
      </x:c>
      <x:c r="G16" s="27" t="n">
        <x:v>0.025862068965517</x:v>
      </x:c>
    </x:row>
    <x:row r="17" ht="22" customHeight="1">
      <x:c r="A17" s="7" t="str">
        <x:v>S</x:v>
      </x:c>
      <x:c r="B17" s="7" t="str">
        <x:v>G real</x:v>
      </x:c>
      <x:c r="C17" s="9" t="n">
        <x:v>1</x:v>
      </x:c>
      <x:c r="D17" s="7" t="str">
        <x:v>rare_common_expression_pcc</x:v>
      </x:c>
      <x:c r="E17" s="25" t="n">
        <x:v>0.934846757774823</x:v>
      </x:c>
      <x:c r="F17" s="25" t="n">
        <x:v>0.930939127282944</x:v>
      </x:c>
      <x:c r="G17" s="27" t="n">
        <x:v>-0.003907630491879</x:v>
      </x:c>
    </x:row>
    <x:row r="18" ht="22" customHeight="1">
      <x:c r="A18" s="7" t="str">
        <x:v>S</x:v>
      </x:c>
      <x:c r="B18" s="7" t="str">
        <x:v>G real</x:v>
      </x:c>
      <x:c r="C18" s="9" t="n">
        <x:v>2</x:v>
      </x:c>
      <x:c r="D18" s="7" t="str">
        <x:v>rare_common_expression_pcc</x:v>
      </x:c>
      <x:c r="E18" s="25" t="n">
        <x:v>0.944932475723761</x:v>
      </x:c>
      <x:c r="F18" s="25" t="n">
        <x:v>0.93581098436957</x:v>
      </x:c>
      <x:c r="G18" s="27" t="n">
        <x:v>-0.009121491354191</x:v>
      </x:c>
    </x:row>
    <x:row r="19" ht="22" customHeight="1">
      <x:c r="A19" s="7" t="str">
        <x:v>S</x:v>
      </x:c>
      <x:c r="B19" s="7" t="str">
        <x:v>G real</x:v>
      </x:c>
      <x:c r="C19" s="9" t="n">
        <x:v>3</x:v>
      </x:c>
      <x:c r="D19" s="7" t="str">
        <x:v>rare_common_expression_pcc</x:v>
      </x:c>
      <x:c r="E19" s="25" t="n">
        <x:v>0.951583167698256</x:v>
      </x:c>
      <x:c r="F19" s="25" t="n">
        <x:v>0.943245253326824</x:v>
      </x:c>
      <x:c r="G19" s="27" t="n">
        <x:v>-0.008337914371432</x:v>
      </x:c>
    </x:row>
    <x:row r="20" ht="22" customHeight="1">
      <x:c r="A20" s="7" t="str">
        <x:v>S</x:v>
      </x:c>
      <x:c r="B20" s="7" t="str">
        <x:v>G real</x:v>
      </x:c>
      <x:c r="C20" s="9" t="n">
        <x:v>1</x:v>
      </x:c>
      <x:c r="D20" s="7" t="str">
        <x:v>spatial_expression_pcc_100um</x:v>
      </x:c>
      <x:c r="E20" s="25" t="n">
        <x:v>0.384275570349193</x:v>
      </x:c>
      <x:c r="F20" s="25" t="n">
        <x:v>0.358183382397627</x:v>
      </x:c>
      <x:c r="G20" s="27" t="n">
        <x:v>-0.026092187951566</x:v>
      </x:c>
    </x:row>
    <x:row r="21" ht="22" customHeight="1">
      <x:c r="A21" s="7" t="str">
        <x:v>S</x:v>
      </x:c>
      <x:c r="B21" s="7" t="str">
        <x:v>G real</x:v>
      </x:c>
      <x:c r="C21" s="9" t="n">
        <x:v>2</x:v>
      </x:c>
      <x:c r="D21" s="7" t="str">
        <x:v>spatial_expression_pcc_100um</x:v>
      </x:c>
      <x:c r="E21" s="25" t="n">
        <x:v>0.354352325769297</x:v>
      </x:c>
      <x:c r="F21" s="25" t="n">
        <x:v>0.355857728889588</x:v>
      </x:c>
      <x:c r="G21" s="27" t="n">
        <x:v>0.001505403120291</x:v>
      </x:c>
    </x:row>
    <x:row r="22" ht="22" customHeight="1">
      <x:c r="A22" s="7" t="str">
        <x:v>S</x:v>
      </x:c>
      <x:c r="B22" s="7" t="str">
        <x:v>G real</x:v>
      </x:c>
      <x:c r="C22" s="9" t="n">
        <x:v>3</x:v>
      </x:c>
      <x:c r="D22" s="7" t="str">
        <x:v>spatial_expression_pcc_100um</x:v>
      </x:c>
      <x:c r="E22" s="25" t="n">
        <x:v>0.384447918078878</x:v>
      </x:c>
      <x:c r="F22" s="25" t="n">
        <x:v>0.371896078460832</x:v>
      </x:c>
      <x:c r="G22" s="27" t="n">
        <x:v>-0.012551839618045</x:v>
      </x:c>
    </x:row>
    <x:row r="23" ht="22" customHeight="1">
      <x:c r="A23" s="7" t="str">
        <x:v>S</x:v>
      </x:c>
      <x:c r="B23" s="7" t="str">
        <x:v>G real</x:v>
      </x:c>
      <x:c r="C23" s="9" t="n">
        <x:v>1</x:v>
      </x:c>
      <x:c r="D23" s="7" t="str">
        <x:v>tissue_histogram_tv</x:v>
      </x:c>
      <x:c r="E23" s="25" t="n">
        <x:v>0.15638996766045</x:v>
      </x:c>
      <x:c r="F23" s="25" t="n">
        <x:v>0.148758999197794</x:v>
      </x:c>
      <x:c r="G23" s="27" t="n">
        <x:v>-0.007630968462656</x:v>
      </x:c>
    </x:row>
    <x:row r="24" ht="22" customHeight="1">
      <x:c r="A24" s="7" t="str">
        <x:v>S</x:v>
      </x:c>
      <x:c r="B24" s="7" t="str">
        <x:v>G real</x:v>
      </x:c>
      <x:c r="C24" s="9" t="n">
        <x:v>2</x:v>
      </x:c>
      <x:c r="D24" s="7" t="str">
        <x:v>tissue_histogram_tv</x:v>
      </x:c>
      <x:c r="E24" s="25" t="n">
        <x:v>0.183786773968142</x:v>
      </x:c>
      <x:c r="F24" s="25" t="n">
        <x:v>0.15268588412011</x:v>
      </x:c>
      <x:c r="G24" s="27" t="n">
        <x:v>-0.031100889848032</x:v>
      </x:c>
    </x:row>
    <x:row r="25" ht="22" customHeight="1">
      <x:c r="A25" s="7" t="str">
        <x:v>S</x:v>
      </x:c>
      <x:c r="B25" s="7" t="str">
        <x:v>G real</x:v>
      </x:c>
      <x:c r="C25" s="9" t="n">
        <x:v>3</x:v>
      </x:c>
      <x:c r="D25" s="7" t="str">
        <x:v>tissue_histogram_tv</x:v>
      </x:c>
      <x:c r="E25" s="25" t="n">
        <x:v>0.161080197673061</x:v>
      </x:c>
      <x:c r="F25" s="25" t="n">
        <x:v>0.138457380295584</x:v>
      </x:c>
      <x:c r="G25" s="27" t="n">
        <x:v>-0.022622817377477</x:v>
      </x:c>
    </x:row>
    <x:row r="26" ht="22" customHeight="1">
      <x:c r="A26" s="7" t="str">
        <x:v>S</x:v>
      </x:c>
      <x:c r="B26" s="7" t="str">
        <x:v>G real</x:v>
      </x:c>
      <x:c r="C26" s="9" t="n">
        <x:v>1</x:v>
      </x:c>
      <x:c r="D26" s="7" t="str">
        <x:v>niche_js_divergence_mean</x:v>
      </x:c>
      <x:c r="E26" s="25" t="n">
        <x:v>0.227412518154247</x:v>
      </x:c>
      <x:c r="F26" s="25" t="n">
        <x:v>0.22330198573415</x:v>
      </x:c>
      <x:c r="G26" s="27" t="n">
        <x:v>-0.004110532420097</x:v>
      </x:c>
    </x:row>
    <x:row r="27" ht="22" customHeight="1">
      <x:c r="A27" s="7" t="str">
        <x:v>S</x:v>
      </x:c>
      <x:c r="B27" s="7" t="str">
        <x:v>G real</x:v>
      </x:c>
      <x:c r="C27" s="9" t="n">
        <x:v>2</x:v>
      </x:c>
      <x:c r="D27" s="7" t="str">
        <x:v>niche_js_divergence_mean</x:v>
      </x:c>
      <x:c r="E27" s="25" t="n">
        <x:v>0.21697513749287</x:v>
      </x:c>
      <x:c r="F27" s="25" t="n">
        <x:v>0.218388480322412</x:v>
      </x:c>
      <x:c r="G27" s="27" t="n">
        <x:v>0.001413342829542</x:v>
      </x:c>
    </x:row>
    <x:row r="28" ht="22" customHeight="1">
      <x:c r="A28" s="7" t="str">
        <x:v>S</x:v>
      </x:c>
      <x:c r="B28" s="7" t="str">
        <x:v>G real</x:v>
      </x:c>
      <x:c r="C28" s="9" t="n">
        <x:v>3</x:v>
      </x:c>
      <x:c r="D28" s="7" t="str">
        <x:v>niche_js_divergence_mean</x:v>
      </x:c>
      <x:c r="E28" s="25" t="n">
        <x:v>0.2262516470038</x:v>
      </x:c>
      <x:c r="F28" s="25" t="n">
        <x:v>0.225483133530046</x:v>
      </x:c>
      <x:c r="G28" s="27" t="n">
        <x:v>-0.000768513473754</x:v>
      </x:c>
    </x:row>
    <x:row r="29" ht="22" customHeight="1">
      <x:c r="A29" s="7" t="str">
        <x:v>S</x:v>
      </x:c>
      <x:c r="B29" s="7" t="str">
        <x:v>G real</x:v>
      </x:c>
      <x:c r="C29" s="9" t="n">
        <x:v>1</x:v>
      </x:c>
      <x:c r="D29" s="7" t="str">
        <x:v>cell_fraction_total_variation</x:v>
      </x:c>
      <x:c r="E29" s="25" t="n">
        <x:v>0.031564682616548</x:v>
      </x:c>
      <x:c r="F29" s="25" t="n">
        <x:v>0.031564682616548</x:v>
      </x:c>
      <x:c r="G29" s="27" t="n">
        <x:v>0</x:v>
      </x:c>
    </x:row>
    <x:row r="30" ht="22" customHeight="1">
      <x:c r="A30" s="7" t="str">
        <x:v>S</x:v>
      </x:c>
      <x:c r="B30" s="7" t="str">
        <x:v>G real</x:v>
      </x:c>
      <x:c r="C30" s="9" t="n">
        <x:v>2</x:v>
      </x:c>
      <x:c r="D30" s="7" t="str">
        <x:v>cell_fraction_total_variation</x:v>
      </x:c>
      <x:c r="E30" s="25" t="n">
        <x:v>0.016603247565039</x:v>
      </x:c>
      <x:c r="F30" s="25" t="n">
        <x:v>0.016603247565039</x:v>
      </x:c>
      <x:c r="G30" s="27" t="n">
        <x:v>0</x:v>
      </x:c>
    </x:row>
    <x:row r="31" ht="22" customHeight="1">
      <x:c r="A31" s="7" t="str">
        <x:v>S</x:v>
      </x:c>
      <x:c r="B31" s="7" t="str">
        <x:v>G real</x:v>
      </x:c>
      <x:c r="C31" s="9" t="n">
        <x:v>3</x:v>
      </x:c>
      <x:c r="D31" s="7" t="str">
        <x:v>cell_fraction_total_variation</x:v>
      </x:c>
      <x:c r="E31" s="25" t="n">
        <x:v>0.024759943636164</x:v>
      </x:c>
      <x:c r="F31" s="25" t="n">
        <x:v>0.024759943636164</x:v>
      </x:c>
      <x:c r="G31" s="27" t="n">
        <x:v>0</x:v>
      </x:c>
    </x:row>
    <x:row r="32" ht="22" customHeight="1">
      <x:c r="A32" s="7" t="str">
        <x:v>Source copy</x:v>
      </x:c>
      <x:c r="B32" s="7" t="str">
        <x:v>G real</x:v>
      </x:c>
      <x:c r="C32" s="9" t="n">
        <x:v>1</x:v>
      </x:c>
      <x:c r="D32" s="7" t="str">
        <x:v>rare_macro_coverage_recall_25um</x:v>
      </x:c>
      <x:c r="E32" s="25" t="n">
        <x:v>0.122457197508217</x:v>
      </x:c>
      <x:c r="F32" s="25" t="n">
        <x:v>0.135075472236211</x:v>
      </x:c>
      <x:c r="G32" s="27" t="n">
        <x:v>0.012618274727994</x:v>
      </x:c>
    </x:row>
    <x:row r="33" ht="22" customHeight="1">
      <x:c r="A33" s="7" t="str">
        <x:v>Source copy</x:v>
      </x:c>
      <x:c r="B33" s="7" t="str">
        <x:v>G real</x:v>
      </x:c>
      <x:c r="C33" s="9" t="n">
        <x:v>2</x:v>
      </x:c>
      <x:c r="D33" s="7" t="str">
        <x:v>rare_macro_coverage_recall_25um</x:v>
      </x:c>
      <x:c r="E33" s="25" t="n">
        <x:v>0.125468314051276</x:v>
      </x:c>
      <x:c r="F33" s="25" t="n">
        <x:v>0.127644562082212</x:v>
      </x:c>
      <x:c r="G33" s="27" t="n">
        <x:v>0.002176248030936</x:v>
      </x:c>
    </x:row>
    <x:row r="34" ht="22" customHeight="1">
      <x:c r="A34" s="7" t="str">
        <x:v>Source copy</x:v>
      </x:c>
      <x:c r="B34" s="7" t="str">
        <x:v>G real</x:v>
      </x:c>
      <x:c r="C34" s="9" t="n">
        <x:v>3</x:v>
      </x:c>
      <x:c r="D34" s="7" t="str">
        <x:v>rare_macro_coverage_recall_25um</x:v>
      </x:c>
      <x:c r="E34" s="25" t="n">
        <x:v>0.156820905890042</x:v>
      </x:c>
      <x:c r="F34" s="25" t="n">
        <x:v>0.160404110035762</x:v>
      </x:c>
      <x:c r="G34" s="27" t="n">
        <x:v>0.00358320414572</x:v>
      </x:c>
    </x:row>
    <x:row r="35" ht="22" customHeight="1">
      <x:c r="A35" s="7" t="str">
        <x:v>Source copy</x:v>
      </x:c>
      <x:c r="B35" s="7" t="str">
        <x:v>G real</x:v>
      </x:c>
      <x:c r="C35" s="9" t="n">
        <x:v>1</x:v>
      </x:c>
      <x:c r="D35" s="7" t="str">
        <x:v>rare_macro_coverage_recall_50um</x:v>
      </x:c>
      <x:c r="E35" s="25" t="n">
        <x:v>0.265345237422617</x:v>
      </x:c>
      <x:c r="F35" s="25" t="n">
        <x:v>0.260004280806308</x:v>
      </x:c>
      <x:c r="G35" s="27" t="n">
        <x:v>-0.005340956616308</x:v>
      </x:c>
    </x:row>
    <x:row r="36" ht="22" customHeight="1">
      <x:c r="A36" s="7" t="str">
        <x:v>Source copy</x:v>
      </x:c>
      <x:c r="B36" s="7" t="str">
        <x:v>G real</x:v>
      </x:c>
      <x:c r="C36" s="9" t="n">
        <x:v>2</x:v>
      </x:c>
      <x:c r="D36" s="7" t="str">
        <x:v>rare_macro_coverage_recall_50um</x:v>
      </x:c>
      <x:c r="E36" s="25" t="n">
        <x:v>0.256906352724826</x:v>
      </x:c>
      <x:c r="F36" s="25" t="n">
        <x:v>0.253607958522982</x:v>
      </x:c>
      <x:c r="G36" s="27" t="n">
        <x:v>-0.003298394201844</x:v>
      </x:c>
    </x:row>
    <x:row r="37" ht="22" customHeight="1">
      <x:c r="A37" s="7" t="str">
        <x:v>Source copy</x:v>
      </x:c>
      <x:c r="B37" s="7" t="str">
        <x:v>G real</x:v>
      </x:c>
      <x:c r="C37" s="9" t="n">
        <x:v>3</x:v>
      </x:c>
      <x:c r="D37" s="7" t="str">
        <x:v>rare_macro_coverage_recall_50um</x:v>
      </x:c>
      <x:c r="E37" s="25" t="n">
        <x:v>0.291203323140482</x:v>
      </x:c>
      <x:c r="F37" s="25" t="n">
        <x:v>0.296605752779657</x:v>
      </x:c>
      <x:c r="G37" s="27" t="n">
        <x:v>0.005402429639175</x:v>
      </x:c>
    </x:row>
    <x:row r="38" ht="22" customHeight="1">
      <x:c r="A38" s="7" t="str">
        <x:v>Source copy</x:v>
      </x:c>
      <x:c r="B38" s="7" t="str">
        <x:v>G real</x:v>
      </x:c>
      <x:c r="C38" s="9" t="n">
        <x:v>1</x:v>
      </x:c>
      <x:c r="D38" s="7" t="str">
        <x:v>rare_macro_coverage_recall_100um</x:v>
      </x:c>
      <x:c r="E38" s="25" t="n">
        <x:v>0.512054947006889</x:v>
      </x:c>
      <x:c r="F38" s="25" t="n">
        <x:v>0.509504589245666</x:v>
      </x:c>
      <x:c r="G38" s="27" t="n">
        <x:v>-0.002550357761223</x:v>
      </x:c>
    </x:row>
    <x:row r="39" ht="22" customHeight="1">
      <x:c r="A39" s="7" t="str">
        <x:v>Source copy</x:v>
      </x:c>
      <x:c r="B39" s="7" t="str">
        <x:v>G real</x:v>
      </x:c>
      <x:c r="C39" s="9" t="n">
        <x:v>2</x:v>
      </x:c>
      <x:c r="D39" s="7" t="str">
        <x:v>rare_macro_coverage_recall_100um</x:v>
      </x:c>
      <x:c r="E39" s="25" t="n">
        <x:v>0.433392462889074</x:v>
      </x:c>
      <x:c r="F39" s="25" t="n">
        <x:v>0.436342345887194</x:v>
      </x:c>
      <x:c r="G39" s="27" t="n">
        <x:v>0.002949882998119</x:v>
      </x:c>
    </x:row>
    <x:row r="40" ht="22" customHeight="1">
      <x:c r="A40" s="7" t="str">
        <x:v>Source copy</x:v>
      </x:c>
      <x:c r="B40" s="7" t="str">
        <x:v>G real</x:v>
      </x:c>
      <x:c r="C40" s="9" t="n">
        <x:v>3</x:v>
      </x:c>
      <x:c r="D40" s="7" t="str">
        <x:v>rare_macro_coverage_recall_100um</x:v>
      </x:c>
      <x:c r="E40" s="25" t="n">
        <x:v>0.548123741442101</x:v>
      </x:c>
      <x:c r="F40" s="25" t="n">
        <x:v>0.54789033579648</x:v>
      </x:c>
      <x:c r="G40" s="27" t="n">
        <x:v>-0.000233405645621</x:v>
      </x:c>
    </x:row>
    <x:row r="41" ht="22" customHeight="1">
      <x:c r="A41" s="7" t="str">
        <x:v>Source copy</x:v>
      </x:c>
      <x:c r="B41" s="7" t="str">
        <x:v>G real</x:v>
      </x:c>
      <x:c r="C41" s="9" t="n">
        <x:v>1</x:v>
      </x:c>
      <x:c r="D41" s="7" t="str">
        <x:v>rare_micro_recall_100um</x:v>
      </x:c>
      <x:c r="E41" s="25" t="n">
        <x:v>0.776811594202899</x:v>
      </x:c>
      <x:c r="F41" s="25" t="n">
        <x:v>0.775845410628019</x:v>
      </x:c>
      <x:c r="G41" s="27" t="n">
        <x:v>-0.000966183574879</x:v>
      </x:c>
    </x:row>
    <x:row r="42" ht="22" customHeight="1">
      <x:c r="A42" s="7" t="str">
        <x:v>Source copy</x:v>
      </x:c>
      <x:c r="B42" s="7" t="str">
        <x:v>G real</x:v>
      </x:c>
      <x:c r="C42" s="9" t="n">
        <x:v>2</x:v>
      </x:c>
      <x:c r="D42" s="7" t="str">
        <x:v>rare_micro_recall_100um</x:v>
      </x:c>
      <x:c r="E42" s="25" t="n">
        <x:v>0.753411306042885</x:v>
      </x:c>
      <x:c r="F42" s="25" t="n">
        <x:v>0.752436647173489</x:v>
      </x:c>
      <x:c r="G42" s="27" t="n">
        <x:v>-0.000974658869396</x:v>
      </x:c>
    </x:row>
    <x:row r="43" ht="22" customHeight="1">
      <x:c r="A43" s="7" t="str">
        <x:v>Source copy</x:v>
      </x:c>
      <x:c r="B43" s="7" t="str">
        <x:v>G real</x:v>
      </x:c>
      <x:c r="C43" s="9" t="n">
        <x:v>3</x:v>
      </x:c>
      <x:c r="D43" s="7" t="str">
        <x:v>rare_micro_recall_100um</x:v>
      </x:c>
      <x:c r="E43" s="25" t="n">
        <x:v>0.779497098646035</x:v>
      </x:c>
      <x:c r="F43" s="25" t="n">
        <x:v>0.779497098646035</x:v>
      </x:c>
      <x:c r="G43" s="27" t="n">
        <x:v>0</x:v>
      </x:c>
    </x:row>
    <x:row r="44" ht="22" customHeight="1">
      <x:c r="A44" s="7" t="str">
        <x:v>Source copy</x:v>
      </x:c>
      <x:c r="B44" s="7" t="str">
        <x:v>G real</x:v>
      </x:c>
      <x:c r="C44" s="9" t="n">
        <x:v>1</x:v>
      </x:c>
      <x:c r="D44" s="7" t="str">
        <x:v>rare_micro_precision_100um</x:v>
      </x:c>
      <x:c r="E44" s="25" t="n">
        <x:v>0.811513463324048</x:v>
      </x:c>
      <x:c r="F44" s="25" t="n">
        <x:v>0.813370473537604</x:v>
      </x:c>
      <x:c r="G44" s="27" t="n">
        <x:v>0.001857010213556</x:v>
      </x:c>
    </x:row>
    <x:row r="45" ht="22" customHeight="1">
      <x:c r="A45" s="7" t="str">
        <x:v>Source copy</x:v>
      </x:c>
      <x:c r="B45" s="7" t="str">
        <x:v>G real</x:v>
      </x:c>
      <x:c r="C45" s="9" t="n">
        <x:v>2</x:v>
      </x:c>
      <x:c r="D45" s="7" t="str">
        <x:v>rare_micro_precision_100um</x:v>
      </x:c>
      <x:c r="E45" s="25" t="n">
        <x:v>0.773913043478261</x:v>
      </x:c>
      <x:c r="F45" s="25" t="n">
        <x:v>0.785507246376812</x:v>
      </x:c>
      <x:c r="G45" s="27" t="n">
        <x:v>0.011594202898551</x:v>
      </x:c>
    </x:row>
    <x:row r="46" ht="22" customHeight="1">
      <x:c r="A46" s="7" t="str">
        <x:v>Source copy</x:v>
      </x:c>
      <x:c r="B46" s="7" t="str">
        <x:v>G real</x:v>
      </x:c>
      <x:c r="C46" s="9" t="n">
        <x:v>3</x:v>
      </x:c>
      <x:c r="D46" s="7" t="str">
        <x:v>rare_micro_precision_100um</x:v>
      </x:c>
      <x:c r="E46" s="25" t="n">
        <x:v>0.825670498084291</x:v>
      </x:c>
      <x:c r="F46" s="25" t="n">
        <x:v>0.831417624521073</x:v>
      </x:c>
      <x:c r="G46" s="27" t="n">
        <x:v>0.005747126436782</x:v>
      </x:c>
    </x:row>
    <x:row r="47" ht="22" customHeight="1">
      <x:c r="A47" s="7" t="str">
        <x:v>Source copy</x:v>
      </x:c>
      <x:c r="B47" s="7" t="str">
        <x:v>G real</x:v>
      </x:c>
      <x:c r="C47" s="9" t="n">
        <x:v>1</x:v>
      </x:c>
      <x:c r="D47" s="7" t="str">
        <x:v>rare_common_expression_pcc</x:v>
      </x:c>
      <x:c r="E47" s="25" t="n">
        <x:v>0.93025314935842</x:v>
      </x:c>
      <x:c r="F47" s="25" t="n">
        <x:v>0.930939127282944</x:v>
      </x:c>
      <x:c r="G47" s="27" t="n">
        <x:v>0.000685977924525</x:v>
      </x:c>
    </x:row>
    <x:row r="48" ht="22" customHeight="1">
      <x:c r="A48" s="7" t="str">
        <x:v>Source copy</x:v>
      </x:c>
      <x:c r="B48" s="7" t="str">
        <x:v>G real</x:v>
      </x:c>
      <x:c r="C48" s="9" t="n">
        <x:v>2</x:v>
      </x:c>
      <x:c r="D48" s="7" t="str">
        <x:v>rare_common_expression_pcc</x:v>
      </x:c>
      <x:c r="E48" s="25" t="n">
        <x:v>0.933887292536934</x:v>
      </x:c>
      <x:c r="F48" s="25" t="n">
        <x:v>0.93581098436957</x:v>
      </x:c>
      <x:c r="G48" s="27" t="n">
        <x:v>0.001923691832636</x:v>
      </x:c>
    </x:row>
    <x:row r="49" ht="22" customHeight="1">
      <x:c r="A49" s="7" t="str">
        <x:v>Source copy</x:v>
      </x:c>
      <x:c r="B49" s="7" t="str">
        <x:v>G real</x:v>
      </x:c>
      <x:c r="C49" s="9" t="n">
        <x:v>3</x:v>
      </x:c>
      <x:c r="D49" s="7" t="str">
        <x:v>rare_common_expression_pcc</x:v>
      </x:c>
      <x:c r="E49" s="25" t="n">
        <x:v>0.944937766126202</x:v>
      </x:c>
      <x:c r="F49" s="25" t="n">
        <x:v>0.943245253326824</x:v>
      </x:c>
      <x:c r="G49" s="27" t="n">
        <x:v>-0.001692512799377</x:v>
      </x:c>
    </x:row>
    <x:row r="50" ht="22" customHeight="1">
      <x:c r="A50" s="7" t="str">
        <x:v>Source copy</x:v>
      </x:c>
      <x:c r="B50" s="7" t="str">
        <x:v>G real</x:v>
      </x:c>
      <x:c r="C50" s="9" t="n">
        <x:v>1</x:v>
      </x:c>
      <x:c r="D50" s="7" t="str">
        <x:v>spatial_expression_pcc_100um</x:v>
      </x:c>
      <x:c r="E50" s="25" t="n">
        <x:v>0.358778016785488</x:v>
      </x:c>
      <x:c r="F50" s="25" t="n">
        <x:v>0.358183382397627</x:v>
      </x:c>
      <x:c r="G50" s="27" t="n">
        <x:v>-0.000594634387861</x:v>
      </x:c>
    </x:row>
    <x:row r="51" ht="22" customHeight="1">
      <x:c r="A51" s="7" t="str">
        <x:v>Source copy</x:v>
      </x:c>
      <x:c r="B51" s="7" t="str">
        <x:v>G real</x:v>
      </x:c>
      <x:c r="C51" s="9" t="n">
        <x:v>2</x:v>
      </x:c>
      <x:c r="D51" s="7" t="str">
        <x:v>spatial_expression_pcc_100um</x:v>
      </x:c>
      <x:c r="E51" s="25" t="n">
        <x:v>0.366956360930833</x:v>
      </x:c>
      <x:c r="F51" s="25" t="n">
        <x:v>0.355857728889588</x:v>
      </x:c>
      <x:c r="G51" s="27" t="n">
        <x:v>-0.011098632041245</x:v>
      </x:c>
    </x:row>
    <x:row r="52" ht="22" customHeight="1">
      <x:c r="A52" s="7" t="str">
        <x:v>Source copy</x:v>
      </x:c>
      <x:c r="B52" s="7" t="str">
        <x:v>G real</x:v>
      </x:c>
      <x:c r="C52" s="9" t="n">
        <x:v>3</x:v>
      </x:c>
      <x:c r="D52" s="7" t="str">
        <x:v>spatial_expression_pcc_100um</x:v>
      </x:c>
      <x:c r="E52" s="25" t="n">
        <x:v>0.384674015990228</x:v>
      </x:c>
      <x:c r="F52" s="25" t="n">
        <x:v>0.371896078460832</x:v>
      </x:c>
      <x:c r="G52" s="27" t="n">
        <x:v>-0.012777937529396</x:v>
      </x:c>
    </x:row>
    <x:row r="53" ht="22" customHeight="1">
      <x:c r="A53" s="7" t="str">
        <x:v>Source copy</x:v>
      </x:c>
      <x:c r="B53" s="7" t="str">
        <x:v>G real</x:v>
      </x:c>
      <x:c r="C53" s="9" t="n">
        <x:v>1</x:v>
      </x:c>
      <x:c r="D53" s="7" t="str">
        <x:v>tissue_histogram_tv</x:v>
      </x:c>
      <x:c r="E53" s="25" t="n">
        <x:v>0.153087777342601</x:v>
      </x:c>
      <x:c r="F53" s="25" t="n">
        <x:v>0.148758999197794</x:v>
      </x:c>
      <x:c r="G53" s="27" t="n">
        <x:v>-0.004328778144807</x:v>
      </x:c>
    </x:row>
    <x:row r="54" ht="22" customHeight="1">
      <x:c r="A54" s="7" t="str">
        <x:v>Source copy</x:v>
      </x:c>
      <x:c r="B54" s="7" t="str">
        <x:v>G real</x:v>
      </x:c>
      <x:c r="C54" s="9" t="n">
        <x:v>2</x:v>
      </x:c>
      <x:c r="D54" s="7" t="str">
        <x:v>tissue_histogram_tv</x:v>
      </x:c>
      <x:c r="E54" s="25" t="n">
        <x:v>0.144967985435393</x:v>
      </x:c>
      <x:c r="F54" s="25" t="n">
        <x:v>0.15268588412011</x:v>
      </x:c>
      <x:c r="G54" s="27" t="n">
        <x:v>0.007717898684717</x:v>
      </x:c>
    </x:row>
    <x:row r="55" ht="22" customHeight="1">
      <x:c r="A55" s="7" t="str">
        <x:v>Source copy</x:v>
      </x:c>
      <x:c r="B55" s="7" t="str">
        <x:v>G real</x:v>
      </x:c>
      <x:c r="C55" s="9" t="n">
        <x:v>3</x:v>
      </x:c>
      <x:c r="D55" s="7" t="str">
        <x:v>tissue_histogram_tv</x:v>
      </x:c>
      <x:c r="E55" s="25" t="n">
        <x:v>0.143421412217864</x:v>
      </x:c>
      <x:c r="F55" s="25" t="n">
        <x:v>0.138457380295584</x:v>
      </x:c>
      <x:c r="G55" s="27" t="n">
        <x:v>-0.004964031922279</x:v>
      </x:c>
    </x:row>
    <x:row r="56" ht="22" customHeight="1">
      <x:c r="A56" s="7" t="str">
        <x:v>Source copy</x:v>
      </x:c>
      <x:c r="B56" s="7" t="str">
        <x:v>G real</x:v>
      </x:c>
      <x:c r="C56" s="9" t="n">
        <x:v>1</x:v>
      </x:c>
      <x:c r="D56" s="7" t="str">
        <x:v>niche_js_divergence_mean</x:v>
      </x:c>
      <x:c r="E56" s="25" t="n">
        <x:v>0.223955728088618</x:v>
      </x:c>
      <x:c r="F56" s="25" t="n">
        <x:v>0.22330198573415</x:v>
      </x:c>
      <x:c r="G56" s="27" t="n">
        <x:v>-0.000653742354468</x:v>
      </x:c>
    </x:row>
    <x:row r="57" ht="22" customHeight="1">
      <x:c r="A57" s="7" t="str">
        <x:v>Source copy</x:v>
      </x:c>
      <x:c r="B57" s="7" t="str">
        <x:v>G real</x:v>
      </x:c>
      <x:c r="C57" s="9" t="n">
        <x:v>2</x:v>
      </x:c>
      <x:c r="D57" s="7" t="str">
        <x:v>niche_js_divergence_mean</x:v>
      </x:c>
      <x:c r="E57" s="25" t="n">
        <x:v>0.218271236981082</x:v>
      </x:c>
      <x:c r="F57" s="25" t="n">
        <x:v>0.218388480322412</x:v>
      </x:c>
      <x:c r="G57" s="27" t="n">
        <x:v>0.00011724334133</x:v>
      </x:c>
    </x:row>
    <x:row r="58" ht="22" customHeight="1">
      <x:c r="A58" s="7" t="str">
        <x:v>Source copy</x:v>
      </x:c>
      <x:c r="B58" s="7" t="str">
        <x:v>G real</x:v>
      </x:c>
      <x:c r="C58" s="9" t="n">
        <x:v>3</x:v>
      </x:c>
      <x:c r="D58" s="7" t="str">
        <x:v>niche_js_divergence_mean</x:v>
      </x:c>
      <x:c r="E58" s="25" t="n">
        <x:v>0.225939932120335</x:v>
      </x:c>
      <x:c r="F58" s="25" t="n">
        <x:v>0.225483133530046</x:v>
      </x:c>
      <x:c r="G58" s="27" t="n">
        <x:v>-0.000456798590289</x:v>
      </x:c>
    </x:row>
    <x:row r="59" ht="22" customHeight="1">
      <x:c r="A59" s="7" t="str">
        <x:v>Source copy</x:v>
      </x:c>
      <x:c r="B59" s="7" t="str">
        <x:v>G real</x:v>
      </x:c>
      <x:c r="C59" s="9" t="n">
        <x:v>1</x:v>
      </x:c>
      <x:c r="D59" s="7" t="str">
        <x:v>cell_fraction_total_variation</x:v>
      </x:c>
      <x:c r="E59" s="25" t="n">
        <x:v>0.031564682616548</x:v>
      </x:c>
      <x:c r="F59" s="25" t="n">
        <x:v>0.031564682616548</x:v>
      </x:c>
      <x:c r="G59" s="27" t="n">
        <x:v>0</x:v>
      </x:c>
    </x:row>
    <x:row r="60" ht="22" customHeight="1">
      <x:c r="A60" s="7" t="str">
        <x:v>Source copy</x:v>
      </x:c>
      <x:c r="B60" s="7" t="str">
        <x:v>G real</x:v>
      </x:c>
      <x:c r="C60" s="9" t="n">
        <x:v>2</x:v>
      </x:c>
      <x:c r="D60" s="7" t="str">
        <x:v>cell_fraction_total_variation</x:v>
      </x:c>
      <x:c r="E60" s="25" t="n">
        <x:v>0.016603247565039</x:v>
      </x:c>
      <x:c r="F60" s="25" t="n">
        <x:v>0.016603247565039</x:v>
      </x:c>
      <x:c r="G60" s="27" t="n">
        <x:v>0</x:v>
      </x:c>
    </x:row>
    <x:row r="61" ht="22" customHeight="1">
      <x:c r="A61" s="7" t="str">
        <x:v>Source copy</x:v>
      </x:c>
      <x:c r="B61" s="7" t="str">
        <x:v>G real</x:v>
      </x:c>
      <x:c r="C61" s="9" t="n">
        <x:v>3</x:v>
      </x:c>
      <x:c r="D61" s="7" t="str">
        <x:v>cell_fraction_total_variation</x:v>
      </x:c>
      <x:c r="E61" s="25" t="n">
        <x:v>0.024759943636164</x:v>
      </x:c>
      <x:c r="F61" s="25" t="n">
        <x:v>0.024759943636164</x:v>
      </x:c>
      <x:c r="G61" s="27" t="n">
        <x:v>0</x:v>
      </x:c>
    </x:row>
    <x:row r="62" ht="22" customHeight="1">
      <x:c r="A62" s="7" t="str">
        <x:v>G shuffle</x:v>
      </x:c>
      <x:c r="B62" s="7" t="str">
        <x:v>G real</x:v>
      </x:c>
      <x:c r="C62" s="9" t="n">
        <x:v>1</x:v>
      </x:c>
      <x:c r="D62" s="7" t="str">
        <x:v>rare_macro_coverage_recall_25um</x:v>
      </x:c>
      <x:c r="E62" s="25" t="n">
        <x:v>0.128707575364054</x:v>
      </x:c>
      <x:c r="F62" s="25" t="n">
        <x:v>0.135075472236211</x:v>
      </x:c>
      <x:c r="G62" s="27" t="n">
        <x:v>0.006367896872157</x:v>
      </x:c>
    </x:row>
    <x:row r="63" ht="22" customHeight="1">
      <x:c r="A63" s="7" t="str">
        <x:v>G shuffle</x:v>
      </x:c>
      <x:c r="B63" s="7" t="str">
        <x:v>G real</x:v>
      </x:c>
      <x:c r="C63" s="9" t="n">
        <x:v>2</x:v>
      </x:c>
      <x:c r="D63" s="7" t="str">
        <x:v>rare_macro_coverage_recall_25um</x:v>
      </x:c>
      <x:c r="E63" s="25" t="n">
        <x:v>0.124289059178925</x:v>
      </x:c>
      <x:c r="F63" s="25" t="n">
        <x:v>0.127644562082212</x:v>
      </x:c>
      <x:c r="G63" s="27" t="n">
        <x:v>0.003355502903287</x:v>
      </x:c>
    </x:row>
    <x:row r="64" ht="22" customHeight="1">
      <x:c r="A64" s="7" t="str">
        <x:v>G shuffle</x:v>
      </x:c>
      <x:c r="B64" s="7" t="str">
        <x:v>G real</x:v>
      </x:c>
      <x:c r="C64" s="9" t="n">
        <x:v>3</x:v>
      </x:c>
      <x:c r="D64" s="7" t="str">
        <x:v>rare_macro_coverage_recall_25um</x:v>
      </x:c>
      <x:c r="E64" s="25" t="n">
        <x:v>0.15917219852436</x:v>
      </x:c>
      <x:c r="F64" s="25" t="n">
        <x:v>0.160404110035762</x:v>
      </x:c>
      <x:c r="G64" s="27" t="n">
        <x:v>0.001231911511402</x:v>
      </x:c>
    </x:row>
    <x:row r="65" ht="22" customHeight="1">
      <x:c r="A65" s="7" t="str">
        <x:v>G shuffle</x:v>
      </x:c>
      <x:c r="B65" s="7" t="str">
        <x:v>G real</x:v>
      </x:c>
      <x:c r="C65" s="9" t="n">
        <x:v>1</x:v>
      </x:c>
      <x:c r="D65" s="7" t="str">
        <x:v>rare_macro_coverage_recall_50um</x:v>
      </x:c>
      <x:c r="E65" s="25" t="n">
        <x:v>0.2701563185107</x:v>
      </x:c>
      <x:c r="F65" s="25" t="n">
        <x:v>0.260004280806308</x:v>
      </x:c>
      <x:c r="G65" s="27" t="n">
        <x:v>-0.010152037704392</x:v>
      </x:c>
    </x:row>
    <x:row r="66" ht="22" customHeight="1">
      <x:c r="A66" s="7" t="str">
        <x:v>G shuffle</x:v>
      </x:c>
      <x:c r="B66" s="7" t="str">
        <x:v>G real</x:v>
      </x:c>
      <x:c r="C66" s="9" t="n">
        <x:v>2</x:v>
      </x:c>
      <x:c r="D66" s="7" t="str">
        <x:v>rare_macro_coverage_recall_50um</x:v>
      </x:c>
      <x:c r="E66" s="25" t="n">
        <x:v>0.257027806991593</x:v>
      </x:c>
      <x:c r="F66" s="25" t="n">
        <x:v>0.253607958522982</x:v>
      </x:c>
      <x:c r="G66" s="27" t="n">
        <x:v>-0.003419848468611</x:v>
      </x:c>
    </x:row>
    <x:row r="67" ht="22" customHeight="1">
      <x:c r="A67" s="7" t="str">
        <x:v>G shuffle</x:v>
      </x:c>
      <x:c r="B67" s="7" t="str">
        <x:v>G real</x:v>
      </x:c>
      <x:c r="C67" s="9" t="n">
        <x:v>3</x:v>
      </x:c>
      <x:c r="D67" s="7" t="str">
        <x:v>rare_macro_coverage_recall_50um</x:v>
      </x:c>
      <x:c r="E67" s="25" t="n">
        <x:v>0.295791062327095</x:v>
      </x:c>
      <x:c r="F67" s="25" t="n">
        <x:v>0.296605752779657</x:v>
      </x:c>
      <x:c r="G67" s="27" t="n">
        <x:v>0.000814690452561</x:v>
      </x:c>
    </x:row>
    <x:row r="68" ht="22" customHeight="1">
      <x:c r="A68" s="7" t="str">
        <x:v>G shuffle</x:v>
      </x:c>
      <x:c r="B68" s="7" t="str">
        <x:v>G real</x:v>
      </x:c>
      <x:c r="C68" s="9" t="n">
        <x:v>1</x:v>
      </x:c>
      <x:c r="D68" s="7" t="str">
        <x:v>rare_macro_coverage_recall_100um</x:v>
      </x:c>
      <x:c r="E68" s="25" t="n">
        <x:v>0.504343334040912</x:v>
      </x:c>
      <x:c r="F68" s="25" t="n">
        <x:v>0.509504589245666</x:v>
      </x:c>
      <x:c r="G68" s="27" t="n">
        <x:v>0.005161255204754</x:v>
      </x:c>
    </x:row>
    <x:row r="69" ht="22" customHeight="1">
      <x:c r="A69" s="7" t="str">
        <x:v>G shuffle</x:v>
      </x:c>
      <x:c r="B69" s="7" t="str">
        <x:v>G real</x:v>
      </x:c>
      <x:c r="C69" s="9" t="n">
        <x:v>2</x:v>
      </x:c>
      <x:c r="D69" s="7" t="str">
        <x:v>rare_macro_coverage_recall_100um</x:v>
      </x:c>
      <x:c r="E69" s="25" t="n">
        <x:v>0.437433301961568</x:v>
      </x:c>
      <x:c r="F69" s="25" t="n">
        <x:v>0.436342345887194</x:v>
      </x:c>
      <x:c r="G69" s="27" t="n">
        <x:v>-0.001090956074375</x:v>
      </x:c>
    </x:row>
    <x:row r="70" ht="22" customHeight="1">
      <x:c r="A70" s="7" t="str">
        <x:v>G shuffle</x:v>
      </x:c>
      <x:c r="B70" s="7" t="str">
        <x:v>G real</x:v>
      </x:c>
      <x:c r="C70" s="9" t="n">
        <x:v>3</x:v>
      </x:c>
      <x:c r="D70" s="7" t="str">
        <x:v>rare_macro_coverage_recall_100um</x:v>
      </x:c>
      <x:c r="E70" s="25" t="n">
        <x:v>0.551094674463263</x:v>
      </x:c>
      <x:c r="F70" s="25" t="n">
        <x:v>0.54789033579648</x:v>
      </x:c>
      <x:c r="G70" s="27" t="n">
        <x:v>-0.003204338666783</x:v>
      </x:c>
    </x:row>
    <x:row r="71" ht="22" customHeight="1">
      <x:c r="A71" s="7" t="str">
        <x:v>G shuffle</x:v>
      </x:c>
      <x:c r="B71" s="7" t="str">
        <x:v>G real</x:v>
      </x:c>
      <x:c r="C71" s="9" t="n">
        <x:v>1</x:v>
      </x:c>
      <x:c r="D71" s="7" t="str">
        <x:v>rare_micro_recall_100um</x:v>
      </x:c>
      <x:c r="E71" s="25" t="n">
        <x:v>0.779710144927536</x:v>
      </x:c>
      <x:c r="F71" s="25" t="n">
        <x:v>0.775845410628019</x:v>
      </x:c>
      <x:c r="G71" s="27" t="n">
        <x:v>-0.003864734299517</x:v>
      </x:c>
    </x:row>
    <x:row r="72" ht="22" customHeight="1">
      <x:c r="A72" s="7" t="str">
        <x:v>G shuffle</x:v>
      </x:c>
      <x:c r="B72" s="7" t="str">
        <x:v>G real</x:v>
      </x:c>
      <x:c r="C72" s="9" t="n">
        <x:v>2</x:v>
      </x:c>
      <x:c r="D72" s="7" t="str">
        <x:v>rare_micro_recall_100um</x:v>
      </x:c>
      <x:c r="E72" s="25" t="n">
        <x:v>0.757309941520468</x:v>
      </x:c>
      <x:c r="F72" s="25" t="n">
        <x:v>0.752436647173489</x:v>
      </x:c>
      <x:c r="G72" s="27" t="n">
        <x:v>-0.004873294346978</x:v>
      </x:c>
    </x:row>
    <x:row r="73" ht="22" customHeight="1">
      <x:c r="A73" s="7" t="str">
        <x:v>G shuffle</x:v>
      </x:c>
      <x:c r="B73" s="7" t="str">
        <x:v>G real</x:v>
      </x:c>
      <x:c r="C73" s="9" t="n">
        <x:v>3</x:v>
      </x:c>
      <x:c r="D73" s="7" t="str">
        <x:v>rare_micro_recall_100um</x:v>
      </x:c>
      <x:c r="E73" s="25" t="n">
        <x:v>0.782398452611218</x:v>
      </x:c>
      <x:c r="F73" s="25" t="n">
        <x:v>0.779497098646035</x:v>
      </x:c>
      <x:c r="G73" s="27" t="n">
        <x:v>-0.002901353965184</x:v>
      </x:c>
    </x:row>
    <x:row r="74" ht="22" customHeight="1">
      <x:c r="A74" s="7" t="str">
        <x:v>G shuffle</x:v>
      </x:c>
      <x:c r="B74" s="7" t="str">
        <x:v>G real</x:v>
      </x:c>
      <x:c r="C74" s="9" t="n">
        <x:v>1</x:v>
      </x:c>
      <x:c r="D74" s="7" t="str">
        <x:v>rare_micro_precision_100um</x:v>
      </x:c>
      <x:c r="E74" s="25" t="n">
        <x:v>0.811513463324048</x:v>
      </x:c>
      <x:c r="F74" s="25" t="n">
        <x:v>0.813370473537604</x:v>
      </x:c>
      <x:c r="G74" s="27" t="n">
        <x:v>0.001857010213556</x:v>
      </x:c>
    </x:row>
    <x:row r="75" ht="22" customHeight="1">
      <x:c r="A75" s="7" t="str">
        <x:v>G shuffle</x:v>
      </x:c>
      <x:c r="B75" s="7" t="str">
        <x:v>G real</x:v>
      </x:c>
      <x:c r="C75" s="9" t="n">
        <x:v>2</x:v>
      </x:c>
      <x:c r="D75" s="7" t="str">
        <x:v>rare_micro_precision_100um</x:v>
      </x:c>
      <x:c r="E75" s="25" t="n">
        <x:v>0.784541062801932</x:v>
      </x:c>
      <x:c r="F75" s="25" t="n">
        <x:v>0.785507246376812</x:v>
      </x:c>
      <x:c r="G75" s="27" t="n">
        <x:v>0.000966183574879</x:v>
      </x:c>
    </x:row>
    <x:row r="76" ht="22" customHeight="1">
      <x:c r="A76" s="7" t="str">
        <x:v>G shuffle</x:v>
      </x:c>
      <x:c r="B76" s="7" t="str">
        <x:v>G real</x:v>
      </x:c>
      <x:c r="C76" s="9" t="n">
        <x:v>3</x:v>
      </x:c>
      <x:c r="D76" s="7" t="str">
        <x:v>rare_micro_precision_100um</x:v>
      </x:c>
      <x:c r="E76" s="25" t="n">
        <x:v>0.826628352490421</x:v>
      </x:c>
      <x:c r="F76" s="25" t="n">
        <x:v>0.831417624521073</x:v>
      </x:c>
      <x:c r="G76" s="27" t="n">
        <x:v>0.004789272030651</x:v>
      </x:c>
    </x:row>
    <x:row r="77" ht="22" customHeight="1">
      <x:c r="A77" s="7" t="str">
        <x:v>G shuffle</x:v>
      </x:c>
      <x:c r="B77" s="7" t="str">
        <x:v>G real</x:v>
      </x:c>
      <x:c r="C77" s="9" t="n">
        <x:v>1</x:v>
      </x:c>
      <x:c r="D77" s="7" t="str">
        <x:v>rare_common_expression_pcc</x:v>
      </x:c>
      <x:c r="E77" s="25" t="n">
        <x:v>0.931556336504918</x:v>
      </x:c>
      <x:c r="F77" s="25" t="n">
        <x:v>0.930939127282944</x:v>
      </x:c>
      <x:c r="G77" s="27" t="n">
        <x:v>-0.000617209221974</x:v>
      </x:c>
    </x:row>
    <x:row r="78" ht="22" customHeight="1">
      <x:c r="A78" s="7" t="str">
        <x:v>G shuffle</x:v>
      </x:c>
      <x:c r="B78" s="7" t="str">
        <x:v>G real</x:v>
      </x:c>
      <x:c r="C78" s="9" t="n">
        <x:v>2</x:v>
      </x:c>
      <x:c r="D78" s="7" t="str">
        <x:v>rare_common_expression_pcc</x:v>
      </x:c>
      <x:c r="E78" s="25" t="n">
        <x:v>0.936045675226866</x:v>
      </x:c>
      <x:c r="F78" s="25" t="n">
        <x:v>0.93581098436957</x:v>
      </x:c>
      <x:c r="G78" s="27" t="n">
        <x:v>-0.000234690857297</x:v>
      </x:c>
    </x:row>
    <x:row r="79" ht="22" customHeight="1">
      <x:c r="A79" s="7" t="str">
        <x:v>G shuffle</x:v>
      </x:c>
      <x:c r="B79" s="7" t="str">
        <x:v>G real</x:v>
      </x:c>
      <x:c r="C79" s="9" t="n">
        <x:v>3</x:v>
      </x:c>
      <x:c r="D79" s="7" t="str">
        <x:v>rare_common_expression_pcc</x:v>
      </x:c>
      <x:c r="E79" s="25" t="n">
        <x:v>0.943080861814326</x:v>
      </x:c>
      <x:c r="F79" s="25" t="n">
        <x:v>0.943245253326824</x:v>
      </x:c>
      <x:c r="G79" s="27" t="n">
        <x:v>0.000164391512498</x:v>
      </x:c>
    </x:row>
    <x:row r="80" ht="22" customHeight="1">
      <x:c r="A80" s="7" t="str">
        <x:v>G shuffle</x:v>
      </x:c>
      <x:c r="B80" s="7" t="str">
        <x:v>G real</x:v>
      </x:c>
      <x:c r="C80" s="9" t="n">
        <x:v>1</x:v>
      </x:c>
      <x:c r="D80" s="7" t="str">
        <x:v>spatial_expression_pcc_100um</x:v>
      </x:c>
      <x:c r="E80" s="25" t="n">
        <x:v>0.361223031372458</x:v>
      </x:c>
      <x:c r="F80" s="25" t="n">
        <x:v>0.358183382397627</x:v>
      </x:c>
      <x:c r="G80" s="27" t="n">
        <x:v>-0.003039648974831</x:v>
      </x:c>
    </x:row>
    <x:row r="81" ht="22" customHeight="1">
      <x:c r="A81" s="7" t="str">
        <x:v>G shuffle</x:v>
      </x:c>
      <x:c r="B81" s="7" t="str">
        <x:v>G real</x:v>
      </x:c>
      <x:c r="C81" s="9" t="n">
        <x:v>2</x:v>
      </x:c>
      <x:c r="D81" s="7" t="str">
        <x:v>spatial_expression_pcc_100um</x:v>
      </x:c>
      <x:c r="E81" s="25" t="n">
        <x:v>0.368524438207903</x:v>
      </x:c>
      <x:c r="F81" s="25" t="n">
        <x:v>0.355857728889588</x:v>
      </x:c>
      <x:c r="G81" s="27" t="n">
        <x:v>-0.012666709318316</x:v>
      </x:c>
    </x:row>
    <x:row r="82" ht="22" customHeight="1">
      <x:c r="A82" s="7" t="str">
        <x:v>G shuffle</x:v>
      </x:c>
      <x:c r="B82" s="7" t="str">
        <x:v>G real</x:v>
      </x:c>
      <x:c r="C82" s="9" t="n">
        <x:v>3</x:v>
      </x:c>
      <x:c r="D82" s="7" t="str">
        <x:v>spatial_expression_pcc_100um</x:v>
      </x:c>
      <x:c r="E82" s="25" t="n">
        <x:v>0.386297961404484</x:v>
      </x:c>
      <x:c r="F82" s="25" t="n">
        <x:v>0.371896078460832</x:v>
      </x:c>
      <x:c r="G82" s="27" t="n">
        <x:v>-0.014401882943652</x:v>
      </x:c>
    </x:row>
    <x:row r="83" ht="22" customHeight="1">
      <x:c r="A83" s="7" t="str">
        <x:v>G shuffle</x:v>
      </x:c>
      <x:c r="B83" s="7" t="str">
        <x:v>G real</x:v>
      </x:c>
      <x:c r="C83" s="9" t="n">
        <x:v>1</x:v>
      </x:c>
      <x:c r="D83" s="7" t="str">
        <x:v>tissue_histogram_tv</x:v>
      </x:c>
      <x:c r="E83" s="25" t="n">
        <x:v>0.149337138701043</x:v>
      </x:c>
      <x:c r="F83" s="25" t="n">
        <x:v>0.148758999197794</x:v>
      </x:c>
      <x:c r="G83" s="27" t="n">
        <x:v>-0.000578139503249</x:v>
      </x:c>
    </x:row>
    <x:row r="84" ht="22" customHeight="1">
      <x:c r="A84" s="7" t="str">
        <x:v>G shuffle</x:v>
      </x:c>
      <x:c r="B84" s="7" t="str">
        <x:v>G real</x:v>
      </x:c>
      <x:c r="C84" s="9" t="n">
        <x:v>2</x:v>
      </x:c>
      <x:c r="D84" s="7" t="str">
        <x:v>tissue_histogram_tv</x:v>
      </x:c>
      <x:c r="E84" s="25" t="n">
        <x:v>0.147747691005975</x:v>
      </x:c>
      <x:c r="F84" s="25" t="n">
        <x:v>0.15268588412011</x:v>
      </x:c>
      <x:c r="G84" s="27" t="n">
        <x:v>0.004938193114135</x:v>
      </x:c>
    </x:row>
    <x:row r="85" ht="22" customHeight="1">
      <x:c r="A85" s="7" t="str">
        <x:v>G shuffle</x:v>
      </x:c>
      <x:c r="B85" s="7" t="str">
        <x:v>G real</x:v>
      </x:c>
      <x:c r="C85" s="9" t="n">
        <x:v>3</x:v>
      </x:c>
      <x:c r="D85" s="7" t="str">
        <x:v>tissue_histogram_tv</x:v>
      </x:c>
      <x:c r="E85" s="25" t="n">
        <x:v>0.137469736138945</x:v>
      </x:c>
      <x:c r="F85" s="25" t="n">
        <x:v>0.138457380295584</x:v>
      </x:c>
      <x:c r="G85" s="27" t="n">
        <x:v>0.000987644156639</x:v>
      </x:c>
    </x:row>
    <x:row r="86" ht="22" customHeight="1">
      <x:c r="A86" s="7" t="str">
        <x:v>G shuffle</x:v>
      </x:c>
      <x:c r="B86" s="7" t="str">
        <x:v>G real</x:v>
      </x:c>
      <x:c r="C86" s="9" t="n">
        <x:v>1</x:v>
      </x:c>
      <x:c r="D86" s="7" t="str">
        <x:v>niche_js_divergence_mean</x:v>
      </x:c>
      <x:c r="E86" s="25" t="n">
        <x:v>0.223111346396001</x:v>
      </x:c>
      <x:c r="F86" s="25" t="n">
        <x:v>0.22330198573415</x:v>
      </x:c>
      <x:c r="G86" s="27" t="n">
        <x:v>0.000190639338149</x:v>
      </x:c>
    </x:row>
    <x:row r="87" ht="22" customHeight="1">
      <x:c r="A87" s="7" t="str">
        <x:v>G shuffle</x:v>
      </x:c>
      <x:c r="B87" s="7" t="str">
        <x:v>G real</x:v>
      </x:c>
      <x:c r="C87" s="9" t="n">
        <x:v>2</x:v>
      </x:c>
      <x:c r="D87" s="7" t="str">
        <x:v>niche_js_divergence_mean</x:v>
      </x:c>
      <x:c r="E87" s="25" t="n">
        <x:v>0.217637632334634</x:v>
      </x:c>
      <x:c r="F87" s="25" t="n">
        <x:v>0.218388480322412</x:v>
      </x:c>
      <x:c r="G87" s="27" t="n">
        <x:v>0.000750847987778</x:v>
      </x:c>
    </x:row>
    <x:row r="88" ht="22" customHeight="1">
      <x:c r="A88" s="7" t="str">
        <x:v>G shuffle</x:v>
      </x:c>
      <x:c r="B88" s="7" t="str">
        <x:v>G real</x:v>
      </x:c>
      <x:c r="C88" s="9" t="n">
        <x:v>3</x:v>
      </x:c>
      <x:c r="D88" s="7" t="str">
        <x:v>niche_js_divergence_mean</x:v>
      </x:c>
      <x:c r="E88" s="25" t="n">
        <x:v>0.225100552066069</x:v>
      </x:c>
      <x:c r="F88" s="25" t="n">
        <x:v>0.225483133530046</x:v>
      </x:c>
      <x:c r="G88" s="27" t="n">
        <x:v>0.000382581463977</x:v>
      </x:c>
    </x:row>
    <x:row r="89" ht="22" customHeight="1">
      <x:c r="A89" s="7" t="str">
        <x:v>G shuffle</x:v>
      </x:c>
      <x:c r="B89" s="7" t="str">
        <x:v>G real</x:v>
      </x:c>
      <x:c r="C89" s="9" t="n">
        <x:v>1</x:v>
      </x:c>
      <x:c r="D89" s="7" t="str">
        <x:v>cell_fraction_total_variation</x:v>
      </x:c>
      <x:c r="E89" s="25" t="n">
        <x:v>0.031564682616548</x:v>
      </x:c>
      <x:c r="F89" s="25" t="n">
        <x:v>0.031564682616548</x:v>
      </x:c>
      <x:c r="G89" s="27" t="n">
        <x:v>0</x:v>
      </x:c>
    </x:row>
    <x:row r="90" ht="22" customHeight="1">
      <x:c r="A90" s="7" t="str">
        <x:v>G shuffle</x:v>
      </x:c>
      <x:c r="B90" s="7" t="str">
        <x:v>G real</x:v>
      </x:c>
      <x:c r="C90" s="9" t="n">
        <x:v>2</x:v>
      </x:c>
      <x:c r="D90" s="7" t="str">
        <x:v>cell_fraction_total_variation</x:v>
      </x:c>
      <x:c r="E90" s="25" t="n">
        <x:v>0.016603247565039</x:v>
      </x:c>
      <x:c r="F90" s="25" t="n">
        <x:v>0.016603247565039</x:v>
      </x:c>
      <x:c r="G90" s="27" t="n">
        <x:v>0</x:v>
      </x:c>
    </x:row>
    <x:row r="91" ht="22" customHeight="1">
      <x:c r="A91" s="7" t="str">
        <x:v>G shuffle</x:v>
      </x:c>
      <x:c r="B91" s="7" t="str">
        <x:v>G real</x:v>
      </x:c>
      <x:c r="C91" s="9" t="n">
        <x:v>3</x:v>
      </x:c>
      <x:c r="D91" s="7" t="str">
        <x:v>cell_fraction_total_variation</x:v>
      </x:c>
      <x:c r="E91" s="25" t="n">
        <x:v>0.024759943636164</x:v>
      </x:c>
      <x:c r="F91" s="25" t="n">
        <x:v>0.024759943636164</x:v>
      </x:c>
      <x:c r="G91" s="27" t="n">
        <x:v>0</x:v>
      </x:c>
    </x:row>
    <x:row r="92" ht="22" customHeight="1">
      <x:c r="A92" s="7" t="str">
        <x:v>G zero</x:v>
      </x:c>
      <x:c r="B92" s="7" t="str">
        <x:v>G real</x:v>
      </x:c>
      <x:c r="C92" s="9" t="n">
        <x:v>1</x:v>
      </x:c>
      <x:c r="D92" s="7" t="str">
        <x:v>rare_macro_coverage_recall_25um</x:v>
      </x:c>
      <x:c r="E92" s="25" t="n">
        <x:v>0.131634239567278</x:v>
      </x:c>
      <x:c r="F92" s="25" t="n">
        <x:v>0.135075472236211</x:v>
      </x:c>
      <x:c r="G92" s="27" t="n">
        <x:v>0.003441232668932</x:v>
      </x:c>
    </x:row>
    <x:row r="93" ht="22" customHeight="1">
      <x:c r="A93" s="7" t="str">
        <x:v>G zero</x:v>
      </x:c>
      <x:c r="B93" s="7" t="str">
        <x:v>G real</x:v>
      </x:c>
      <x:c r="C93" s="9" t="n">
        <x:v>2</x:v>
      </x:c>
      <x:c r="D93" s="7" t="str">
        <x:v>rare_macro_coverage_recall_25um</x:v>
      </x:c>
      <x:c r="E93" s="25" t="n">
        <x:v>0.128513403822323</x:v>
      </x:c>
      <x:c r="F93" s="25" t="n">
        <x:v>0.127644562082212</x:v>
      </x:c>
      <x:c r="G93" s="27" t="n">
        <x:v>-0.000868841740111</x:v>
      </x:c>
    </x:row>
    <x:row r="94" ht="22" customHeight="1">
      <x:c r="A94" s="7" t="str">
        <x:v>G zero</x:v>
      </x:c>
      <x:c r="B94" s="7" t="str">
        <x:v>G real</x:v>
      </x:c>
      <x:c r="C94" s="9" t="n">
        <x:v>3</x:v>
      </x:c>
      <x:c r="D94" s="7" t="str">
        <x:v>rare_macro_coverage_recall_25um</x:v>
      </x:c>
      <x:c r="E94" s="25" t="n">
        <x:v>0.13599175894537</x:v>
      </x:c>
      <x:c r="F94" s="25" t="n">
        <x:v>0.160404110035762</x:v>
      </x:c>
      <x:c r="G94" s="27" t="n">
        <x:v>0.024412351090392</x:v>
      </x:c>
    </x:row>
    <x:row r="95" ht="22" customHeight="1">
      <x:c r="A95" s="7" t="str">
        <x:v>G zero</x:v>
      </x:c>
      <x:c r="B95" s="7" t="str">
        <x:v>G real</x:v>
      </x:c>
      <x:c r="C95" s="9" t="n">
        <x:v>1</x:v>
      </x:c>
      <x:c r="D95" s="7" t="str">
        <x:v>rare_macro_coverage_recall_50um</x:v>
      </x:c>
      <x:c r="E95" s="25" t="n">
        <x:v>0.273408639053038</x:v>
      </x:c>
      <x:c r="F95" s="25" t="n">
        <x:v>0.260004280806308</x:v>
      </x:c>
      <x:c r="G95" s="27" t="n">
        <x:v>-0.013404358246729</x:v>
      </x:c>
    </x:row>
    <x:row r="96" ht="22" customHeight="1">
      <x:c r="A96" s="7" t="str">
        <x:v>G zero</x:v>
      </x:c>
      <x:c r="B96" s="7" t="str">
        <x:v>G real</x:v>
      </x:c>
      <x:c r="C96" s="9" t="n">
        <x:v>2</x:v>
      </x:c>
      <x:c r="D96" s="7" t="str">
        <x:v>rare_macro_coverage_recall_50um</x:v>
      </x:c>
      <x:c r="E96" s="25" t="n">
        <x:v>0.253471550467818</x:v>
      </x:c>
      <x:c r="F96" s="25" t="n">
        <x:v>0.253607958522982</x:v>
      </x:c>
      <x:c r="G96" s="27" t="n">
        <x:v>0.000136408055163</x:v>
      </x:c>
    </x:row>
    <x:row r="97" ht="22" customHeight="1">
      <x:c r="A97" s="7" t="str">
        <x:v>G zero</x:v>
      </x:c>
      <x:c r="B97" s="7" t="str">
        <x:v>G real</x:v>
      </x:c>
      <x:c r="C97" s="9" t="n">
        <x:v>3</x:v>
      </x:c>
      <x:c r="D97" s="7" t="str">
        <x:v>rare_macro_coverage_recall_50um</x:v>
      </x:c>
      <x:c r="E97" s="25" t="n">
        <x:v>0.294677007259222</x:v>
      </x:c>
      <x:c r="F97" s="25" t="n">
        <x:v>0.296605752779657</x:v>
      </x:c>
      <x:c r="G97" s="27" t="n">
        <x:v>0.001928745520435</x:v>
      </x:c>
    </x:row>
    <x:row r="98" ht="22" customHeight="1">
      <x:c r="A98" s="7" t="str">
        <x:v>G zero</x:v>
      </x:c>
      <x:c r="B98" s="7" t="str">
        <x:v>G real</x:v>
      </x:c>
      <x:c r="C98" s="9" t="n">
        <x:v>1</x:v>
      </x:c>
      <x:c r="D98" s="7" t="str">
        <x:v>rare_macro_coverage_recall_100um</x:v>
      </x:c>
      <x:c r="E98" s="25" t="n">
        <x:v>0.50624551372715</x:v>
      </x:c>
      <x:c r="F98" s="25" t="n">
        <x:v>0.509504589245666</x:v>
      </x:c>
      <x:c r="G98" s="27" t="n">
        <x:v>0.003259075518516</x:v>
      </x:c>
    </x:row>
    <x:row r="99" ht="22" customHeight="1">
      <x:c r="A99" s="7" t="str">
        <x:v>G zero</x:v>
      </x:c>
      <x:c r="B99" s="7" t="str">
        <x:v>G real</x:v>
      </x:c>
      <x:c r="C99" s="9" t="n">
        <x:v>2</x:v>
      </x:c>
      <x:c r="D99" s="7" t="str">
        <x:v>rare_macro_coverage_recall_100um</x:v>
      </x:c>
      <x:c r="E99" s="25" t="n">
        <x:v>0.442631409353449</x:v>
      </x:c>
      <x:c r="F99" s="25" t="n">
        <x:v>0.436342345887194</x:v>
      </x:c>
      <x:c r="G99" s="27" t="n">
        <x:v>-0.006289063466255</x:v>
      </x:c>
    </x:row>
    <x:row r="100" ht="22" customHeight="1">
      <x:c r="A100" s="7" t="str">
        <x:v>G zero</x:v>
      </x:c>
      <x:c r="B100" s="7" t="str">
        <x:v>G real</x:v>
      </x:c>
      <x:c r="C100" s="9" t="n">
        <x:v>3</x:v>
      </x:c>
      <x:c r="D100" s="7" t="str">
        <x:v>rare_macro_coverage_recall_100um</x:v>
      </x:c>
      <x:c r="E100" s="25" t="n">
        <x:v>0.546588991221766</x:v>
      </x:c>
      <x:c r="F100" s="25" t="n">
        <x:v>0.54789033579648</x:v>
      </x:c>
      <x:c r="G100" s="27" t="n">
        <x:v>0.001301344574714</x:v>
      </x:c>
    </x:row>
    <x:row r="101" ht="22" customHeight="1">
      <x:c r="A101" s="7" t="str">
        <x:v>G zero</x:v>
      </x:c>
      <x:c r="B101" s="7" t="str">
        <x:v>G real</x:v>
      </x:c>
      <x:c r="C101" s="9" t="n">
        <x:v>1</x:v>
      </x:c>
      <x:c r="D101" s="7" t="str">
        <x:v>rare_micro_recall_100um</x:v>
      </x:c>
      <x:c r="E101" s="25" t="n">
        <x:v>0.779710144927536</x:v>
      </x:c>
      <x:c r="F101" s="25" t="n">
        <x:v>0.775845410628019</x:v>
      </x:c>
      <x:c r="G101" s="27" t="n">
        <x:v>-0.003864734299517</x:v>
      </x:c>
    </x:row>
    <x:row r="102" ht="22" customHeight="1">
      <x:c r="A102" s="7" t="str">
        <x:v>G zero</x:v>
      </x:c>
      <x:c r="B102" s="7" t="str">
        <x:v>G real</x:v>
      </x:c>
      <x:c r="C102" s="9" t="n">
        <x:v>2</x:v>
      </x:c>
      <x:c r="D102" s="7" t="str">
        <x:v>rare_micro_recall_100um</x:v>
      </x:c>
      <x:c r="E102" s="25" t="n">
        <x:v>0.764132553606238</x:v>
      </x:c>
      <x:c r="F102" s="25" t="n">
        <x:v>0.752436647173489</x:v>
      </x:c>
      <x:c r="G102" s="27" t="n">
        <x:v>-0.011695906432748</x:v>
      </x:c>
    </x:row>
    <x:row r="103" ht="22" customHeight="1">
      <x:c r="A103" s="7" t="str">
        <x:v>G zero</x:v>
      </x:c>
      <x:c r="B103" s="7" t="str">
        <x:v>G real</x:v>
      </x:c>
      <x:c r="C103" s="9" t="n">
        <x:v>3</x:v>
      </x:c>
      <x:c r="D103" s="7" t="str">
        <x:v>rare_micro_recall_100um</x:v>
      </x:c>
      <x:c r="E103" s="25" t="n">
        <x:v>0.779497098646035</x:v>
      </x:c>
      <x:c r="F103" s="25" t="n">
        <x:v>0.779497098646035</x:v>
      </x:c>
      <x:c r="G103" s="27" t="n">
        <x:v>0</x:v>
      </x:c>
    </x:row>
    <x:row r="104" ht="22" customHeight="1">
      <x:c r="A104" s="7" t="str">
        <x:v>G zero</x:v>
      </x:c>
      <x:c r="B104" s="7" t="str">
        <x:v>G real</x:v>
      </x:c>
      <x:c r="C104" s="9" t="n">
        <x:v>1</x:v>
      </x:c>
      <x:c r="D104" s="7" t="str">
        <x:v>rare_micro_precision_100um</x:v>
      </x:c>
      <x:c r="E104" s="25" t="n">
        <x:v>0.81058495821727</x:v>
      </x:c>
      <x:c r="F104" s="25" t="n">
        <x:v>0.813370473537604</x:v>
      </x:c>
      <x:c r="G104" s="27" t="n">
        <x:v>0.002785515320334</x:v>
      </x:c>
    </x:row>
    <x:row r="105" ht="22" customHeight="1">
      <x:c r="A105" s="7" t="str">
        <x:v>G zero</x:v>
      </x:c>
      <x:c r="B105" s="7" t="str">
        <x:v>G real</x:v>
      </x:c>
      <x:c r="C105" s="9" t="n">
        <x:v>2</x:v>
      </x:c>
      <x:c r="D105" s="7" t="str">
        <x:v>rare_micro_precision_100um</x:v>
      </x:c>
      <x:c r="E105" s="25" t="n">
        <x:v>0.783574879227053</x:v>
      </x:c>
      <x:c r="F105" s="25" t="n">
        <x:v>0.785507246376812</x:v>
      </x:c>
      <x:c r="G105" s="27" t="n">
        <x:v>0.001932367149758</x:v>
      </x:c>
    </x:row>
    <x:row r="106" ht="22" customHeight="1">
      <x:c r="A106" s="7" t="str">
        <x:v>G zero</x:v>
      </x:c>
      <x:c r="B106" s="7" t="str">
        <x:v>G real</x:v>
      </x:c>
      <x:c r="C106" s="9" t="n">
        <x:v>3</x:v>
      </x:c>
      <x:c r="D106" s="7" t="str">
        <x:v>rare_micro_precision_100um</x:v>
      </x:c>
      <x:c r="E106" s="25" t="n">
        <x:v>0.828544061302682</x:v>
      </x:c>
      <x:c r="F106" s="25" t="n">
        <x:v>0.831417624521073</x:v>
      </x:c>
      <x:c r="G106" s="27" t="n">
        <x:v>0.002873563218391</x:v>
      </x:c>
    </x:row>
    <x:row r="107" ht="22" customHeight="1">
      <x:c r="A107" s="7" t="str">
        <x:v>G zero</x:v>
      </x:c>
      <x:c r="B107" s="7" t="str">
        <x:v>G real</x:v>
      </x:c>
      <x:c r="C107" s="9" t="n">
        <x:v>1</x:v>
      </x:c>
      <x:c r="D107" s="7" t="str">
        <x:v>rare_common_expression_pcc</x:v>
      </x:c>
      <x:c r="E107" s="25" t="n">
        <x:v>0.930620373281603</x:v>
      </x:c>
      <x:c r="F107" s="25" t="n">
        <x:v>0.930939127282944</x:v>
      </x:c>
      <x:c r="G107" s="27" t="n">
        <x:v>0.000318754001342</x:v>
      </x:c>
    </x:row>
    <x:row r="108" ht="22" customHeight="1">
      <x:c r="A108" s="7" t="str">
        <x:v>G zero</x:v>
      </x:c>
      <x:c r="B108" s="7" t="str">
        <x:v>G real</x:v>
      </x:c>
      <x:c r="C108" s="9" t="n">
        <x:v>2</x:v>
      </x:c>
      <x:c r="D108" s="7" t="str">
        <x:v>rare_common_expression_pcc</x:v>
      </x:c>
      <x:c r="E108" s="25" t="n">
        <x:v>0.935864308091271</x:v>
      </x:c>
      <x:c r="F108" s="25" t="n">
        <x:v>0.93581098436957</x:v>
      </x:c>
      <x:c r="G108" s="27" t="n">
        <x:v>-0.000053323721701</x:v>
      </x:c>
    </x:row>
    <x:row r="109" ht="22" customHeight="1">
      <x:c r="A109" s="7" t="str">
        <x:v>G zero</x:v>
      </x:c>
      <x:c r="B109" s="7" t="str">
        <x:v>G real</x:v>
      </x:c>
      <x:c r="C109" s="9" t="n">
        <x:v>3</x:v>
      </x:c>
      <x:c r="D109" s="7" t="str">
        <x:v>rare_common_expression_pcc</x:v>
      </x:c>
      <x:c r="E109" s="25" t="n">
        <x:v>0.943934215205201</x:v>
      </x:c>
      <x:c r="F109" s="25" t="n">
        <x:v>0.943245253326824</x:v>
      </x:c>
      <x:c r="G109" s="27" t="n">
        <x:v>-0.000688961878376</x:v>
      </x:c>
    </x:row>
    <x:row r="110" ht="22" customHeight="1">
      <x:c r="A110" s="7" t="str">
        <x:v>G zero</x:v>
      </x:c>
      <x:c r="B110" s="7" t="str">
        <x:v>G real</x:v>
      </x:c>
      <x:c r="C110" s="9" t="n">
        <x:v>1</x:v>
      </x:c>
      <x:c r="D110" s="7" t="str">
        <x:v>spatial_expression_pcc_100um</x:v>
      </x:c>
      <x:c r="E110" s="25" t="n">
        <x:v>0.361880124400078</x:v>
      </x:c>
      <x:c r="F110" s="25" t="n">
        <x:v>0.358183382397627</x:v>
      </x:c>
      <x:c r="G110" s="27" t="n">
        <x:v>-0.003696742002451</x:v>
      </x:c>
    </x:row>
    <x:row r="111" ht="22" customHeight="1">
      <x:c r="A111" s="7" t="str">
        <x:v>G zero</x:v>
      </x:c>
      <x:c r="B111" s="7" t="str">
        <x:v>G real</x:v>
      </x:c>
      <x:c r="C111" s="9" t="n">
        <x:v>2</x:v>
      </x:c>
      <x:c r="D111" s="7" t="str">
        <x:v>spatial_expression_pcc_100um</x:v>
      </x:c>
      <x:c r="E111" s="25" t="n">
        <x:v>0.368073111624382</x:v>
      </x:c>
      <x:c r="F111" s="25" t="n">
        <x:v>0.355857728889588</x:v>
      </x:c>
      <x:c r="G111" s="27" t="n">
        <x:v>-0.012215382734794</x:v>
      </x:c>
    </x:row>
    <x:row r="112" ht="22" customHeight="1">
      <x:c r="A112" s="7" t="str">
        <x:v>G zero</x:v>
      </x:c>
      <x:c r="B112" s="7" t="str">
        <x:v>G real</x:v>
      </x:c>
      <x:c r="C112" s="9" t="n">
        <x:v>3</x:v>
      </x:c>
      <x:c r="D112" s="7" t="str">
        <x:v>spatial_expression_pcc_100um</x:v>
      </x:c>
      <x:c r="E112" s="25" t="n">
        <x:v>0.388741415770283</x:v>
      </x:c>
      <x:c r="F112" s="25" t="n">
        <x:v>0.371896078460832</x:v>
      </x:c>
      <x:c r="G112" s="27" t="n">
        <x:v>-0.01684533730945</x:v>
      </x:c>
    </x:row>
    <x:row r="113" ht="22" customHeight="1">
      <x:c r="A113" s="7" t="str">
        <x:v>G zero</x:v>
      </x:c>
      <x:c r="B113" s="7" t="str">
        <x:v>G real</x:v>
      </x:c>
      <x:c r="C113" s="9" t="n">
        <x:v>1</x:v>
      </x:c>
      <x:c r="D113" s="7" t="str">
        <x:v>tissue_histogram_tv</x:v>
      </x:c>
      <x:c r="E113" s="25" t="n">
        <x:v>0.150303121994309</x:v>
      </x:c>
      <x:c r="F113" s="25" t="n">
        <x:v>0.148758999197794</x:v>
      </x:c>
      <x:c r="G113" s="27" t="n">
        <x:v>-0.001544122796515</x:v>
      </x:c>
    </x:row>
    <x:row r="114" ht="22" customHeight="1">
      <x:c r="A114" s="7" t="str">
        <x:v>G zero</x:v>
      </x:c>
      <x:c r="B114" s="7" t="str">
        <x:v>G real</x:v>
      </x:c>
      <x:c r="C114" s="9" t="n">
        <x:v>2</x:v>
      </x:c>
      <x:c r="D114" s="7" t="str">
        <x:v>tissue_histogram_tv</x:v>
      </x:c>
      <x:c r="E114" s="25" t="n">
        <x:v>0.148466533252841</x:v>
      </x:c>
      <x:c r="F114" s="25" t="n">
        <x:v>0.15268588412011</x:v>
      </x:c>
      <x:c r="G114" s="27" t="n">
        <x:v>0.004219350867269</x:v>
      </x:c>
    </x:row>
    <x:row r="115" ht="22" customHeight="1">
      <x:c r="A115" s="7" t="str">
        <x:v>G zero</x:v>
      </x:c>
      <x:c r="B115" s="7" t="str">
        <x:v>G real</x:v>
      </x:c>
      <x:c r="C115" s="9" t="n">
        <x:v>3</x:v>
      </x:c>
      <x:c r="D115" s="7" t="str">
        <x:v>tissue_histogram_tv</x:v>
      </x:c>
      <x:c r="E115" s="25" t="n">
        <x:v>0.138838117132992</x:v>
      </x:c>
      <x:c r="F115" s="25" t="n">
        <x:v>0.138457380295584</x:v>
      </x:c>
      <x:c r="G115" s="27" t="n">
        <x:v>-0.000380736837408</x:v>
      </x:c>
    </x:row>
    <x:row r="116" ht="22" customHeight="1">
      <x:c r="A116" s="7" t="str">
        <x:v>G zero</x:v>
      </x:c>
      <x:c r="B116" s="7" t="str">
        <x:v>G real</x:v>
      </x:c>
      <x:c r="C116" s="9" t="n">
        <x:v>1</x:v>
      </x:c>
      <x:c r="D116" s="7" t="str">
        <x:v>niche_js_divergence_mean</x:v>
      </x:c>
      <x:c r="E116" s="25" t="n">
        <x:v>0.222771001055359</x:v>
      </x:c>
      <x:c r="F116" s="25" t="n">
        <x:v>0.22330198573415</x:v>
      </x:c>
      <x:c r="G116" s="27" t="n">
        <x:v>0.000530984678791</x:v>
      </x:c>
    </x:row>
    <x:row r="117" ht="22" customHeight="1">
      <x:c r="A117" s="7" t="str">
        <x:v>G zero</x:v>
      </x:c>
      <x:c r="B117" s="7" t="str">
        <x:v>G real</x:v>
      </x:c>
      <x:c r="C117" s="9" t="n">
        <x:v>2</x:v>
      </x:c>
      <x:c r="D117" s="7" t="str">
        <x:v>niche_js_divergence_mean</x:v>
      </x:c>
      <x:c r="E117" s="25" t="n">
        <x:v>0.21761802477324</x:v>
      </x:c>
      <x:c r="F117" s="25" t="n">
        <x:v>0.218388480322412</x:v>
      </x:c>
      <x:c r="G117" s="27" t="n">
        <x:v>0.000770455549172</x:v>
      </x:c>
    </x:row>
    <x:row r="118" ht="22" customHeight="1">
      <x:c r="A118" s="7" t="str">
        <x:v>G zero</x:v>
      </x:c>
      <x:c r="B118" s="7" t="str">
        <x:v>G real</x:v>
      </x:c>
      <x:c r="C118" s="9" t="n">
        <x:v>3</x:v>
      </x:c>
      <x:c r="D118" s="7" t="str">
        <x:v>niche_js_divergence_mean</x:v>
      </x:c>
      <x:c r="E118" s="25" t="n">
        <x:v>0.225263043210656</x:v>
      </x:c>
      <x:c r="F118" s="25" t="n">
        <x:v>0.225483133530046</x:v>
      </x:c>
      <x:c r="G118" s="27" t="n">
        <x:v>0.00022009031939</x:v>
      </x:c>
    </x:row>
    <x:row r="119" ht="22" customHeight="1">
      <x:c r="A119" s="7" t="str">
        <x:v>G zero</x:v>
      </x:c>
      <x:c r="B119" s="7" t="str">
        <x:v>G real</x:v>
      </x:c>
      <x:c r="C119" s="9" t="n">
        <x:v>1</x:v>
      </x:c>
      <x:c r="D119" s="7" t="str">
        <x:v>cell_fraction_total_variation</x:v>
      </x:c>
      <x:c r="E119" s="25" t="n">
        <x:v>0.031564682616548</x:v>
      </x:c>
      <x:c r="F119" s="25" t="n">
        <x:v>0.031564682616548</x:v>
      </x:c>
      <x:c r="G119" s="27" t="n">
        <x:v>0</x:v>
      </x:c>
    </x:row>
    <x:row r="120" ht="22" customHeight="1">
      <x:c r="A120" s="7" t="str">
        <x:v>G zero</x:v>
      </x:c>
      <x:c r="B120" s="7" t="str">
        <x:v>G real</x:v>
      </x:c>
      <x:c r="C120" s="9" t="n">
        <x:v>2</x:v>
      </x:c>
      <x:c r="D120" s="7" t="str">
        <x:v>cell_fraction_total_variation</x:v>
      </x:c>
      <x:c r="E120" s="25" t="n">
        <x:v>0.016603247565039</x:v>
      </x:c>
      <x:c r="F120" s="25" t="n">
        <x:v>0.016603247565039</x:v>
      </x:c>
      <x:c r="G120" s="27" t="n">
        <x:v>0</x:v>
      </x:c>
    </x:row>
    <x:row r="121" ht="22" customHeight="1">
      <x:c r="A121" s="7" t="str">
        <x:v>G zero</x:v>
      </x:c>
      <x:c r="B121" s="7" t="str">
        <x:v>G real</x:v>
      </x:c>
      <x:c r="C121" s="9" t="n">
        <x:v>3</x:v>
      </x:c>
      <x:c r="D121" s="7" t="str">
        <x:v>cell_fraction_total_variation</x:v>
      </x:c>
      <x:c r="E121" s="25" t="n">
        <x:v>0.024759943636164</x:v>
      </x:c>
      <x:c r="F121" s="25" t="n">
        <x:v>0.024759943636164</x:v>
      </x:c>
      <x:c r="G121" s="27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df7d4a1951c49c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0" hidden="0" customWidth="1"/>
    <x:col min="3" max="3" width="16" hidden="0" customWidth="1"/>
    <x:col min="4" max="4" width="20" hidden="0" customWidth="1"/>
    <x:col min="5" max="5" width="16" hidden="0" customWidth="1"/>
    <x:col min="6" max="6" width="22" hidden="0" customWidth="1"/>
    <x:col min="7" max="7" width="16" hidden="0" customWidth="1"/>
    <x:col min="8" max="8" width="54" hidden="0" customWidth="1"/>
    <x:col min="9" max="9" width="82" hidden="0" customWidth="1"/>
  </x:cols>
  <x:sheetData>
    <x:row r="1" ht="42" customHeight="1">
      <x:c r="A1" s="6" t="str">
        <x:v>阶段</x:v>
      </x:c>
      <x:c r="B1" s="6" t="str">
        <x:v>留出切片</x:v>
      </x:c>
      <x:c r="C1" s="6" t="str">
        <x:v>条件</x:v>
      </x:c>
      <x:c r="D1" s="6" t="str">
        <x:v>本阶段训练轮数</x:v>
      </x:c>
      <x:c r="E1" s="6" t="str">
        <x:v>训练步数</x:v>
      </x:c>
      <x:c r="F1" s="6" t="str">
        <x:v>全体积生成细胞数</x:v>
      </x:c>
      <x:c r="G1" s="6" t="str">
        <x:v>结果状态</x:v>
      </x:c>
      <x:c r="H1" s="6" t="str">
        <x:v>检查依据</x:v>
      </x:c>
      <x:c r="I1" s="6" t="str">
        <x:v>结果目录</x:v>
      </x:c>
    </x:row>
    <x:row r="2" ht="22" customHeight="1">
      <x:c r="A2" s="7" t="str">
        <x:v>V1</x:v>
      </x:c>
      <x:c r="B2" s="9" t="n">
        <x:v>1</x:v>
      </x:c>
      <x:c r="C2" s="7" t="str">
        <x:v>real</x:v>
      </x:c>
      <x:c r="D2" s="9" t="n">
        <x:v>100</x:v>
      </x:c>
      <x:c r="E2" s="11" t="n">
        <x:v>9800</x:v>
      </x:c>
      <x:c r="F2" s="11" t="n">
        <x:v>114757</x:v>
      </x:c>
      <x:c r="G2" s="7" t="str">
        <x:v>完整</x:v>
      </x:c>
      <x:c r="H2" s="7" t="str">
        <x:v>最后epoch=99；最终权重与检查点一致；生成文件可读</x:v>
      </x:c>
      <x:c r="I2" s="7" t="str">
        <x:v>HM_DeepSpital/outputs/v1_holdouts_1_2_3/holdout_1</x:v>
      </x:c>
    </x:row>
    <x:row r="3" ht="22" customHeight="1">
      <x:c r="A3" s="7" t="str">
        <x:v>S</x:v>
      </x:c>
      <x:c r="B3" s="9" t="n">
        <x:v>1</x:v>
      </x:c>
      <x:c r="C3" s="7" t="str">
        <x:v>real</x:v>
      </x:c>
      <x:c r="D3" s="9" t="n">
        <x:v>0</x:v>
      </x:c>
      <x:c r="E3" s="11" t="str">
        <x:v>n.a.</x:v>
      </x:c>
      <x:c r="F3" s="11" t="n">
        <x:v>114757</x:v>
      </x:c>
      <x:c r="G3" s="7" t="str">
        <x:v>完整</x:v>
      </x:c>
      <x:c r="H3" s="7" t="str">
        <x:v>复用V1权重，未新增训练；原权重SHA256一致</x:v>
      </x:c>
      <x:c r="I3" s="7" t="str">
        <x:v>HM_DeepSpital/outputs/s_holdouts_1_2_3/holdout_1</x:v>
      </x:c>
    </x:row>
    <x:row r="4" ht="22" customHeight="1">
      <x:c r="A4" s="7" t="str">
        <x:v>V1</x:v>
      </x:c>
      <x:c r="B4" s="9" t="n">
        <x:v>2</x:v>
      </x:c>
      <x:c r="C4" s="7" t="str">
        <x:v>real</x:v>
      </x:c>
      <x:c r="D4" s="9" t="n">
        <x:v>100</x:v>
      </x:c>
      <x:c r="E4" s="11" t="n">
        <x:v>9800</x:v>
      </x:c>
      <x:c r="F4" s="11" t="n">
        <x:v>112777</x:v>
      </x:c>
      <x:c r="G4" s="7" t="str">
        <x:v>完整</x:v>
      </x:c>
      <x:c r="H4" s="7" t="str">
        <x:v>最后epoch=99；最终权重与检查点一致；生成文件可读</x:v>
      </x:c>
      <x:c r="I4" s="7" t="str">
        <x:v>HM_DeepSpital/outputs/v1_holdouts_1_2_3/holdout_2</x:v>
      </x:c>
    </x:row>
    <x:row r="5" ht="22" customHeight="1">
      <x:c r="A5" s="7" t="str">
        <x:v>S</x:v>
      </x:c>
      <x:c r="B5" s="9" t="n">
        <x:v>2</x:v>
      </x:c>
      <x:c r="C5" s="7" t="str">
        <x:v>real</x:v>
      </x:c>
      <x:c r="D5" s="9" t="n">
        <x:v>0</x:v>
      </x:c>
      <x:c r="E5" s="11" t="str">
        <x:v>n.a.</x:v>
      </x:c>
      <x:c r="F5" s="11" t="n">
        <x:v>112777</x:v>
      </x:c>
      <x:c r="G5" s="7" t="str">
        <x:v>完整</x:v>
      </x:c>
      <x:c r="H5" s="7" t="str">
        <x:v>复用V1权重，未新增训练；原权重SHA256一致</x:v>
      </x:c>
      <x:c r="I5" s="7" t="str">
        <x:v>HM_DeepSpital/outputs/s_holdouts_1_2_3/holdout_2</x:v>
      </x:c>
    </x:row>
    <x:row r="6" ht="22" customHeight="1">
      <x:c r="A6" s="7" t="str">
        <x:v>V1</x:v>
      </x:c>
      <x:c r="B6" s="9" t="n">
        <x:v>3</x:v>
      </x:c>
      <x:c r="C6" s="7" t="str">
        <x:v>real</x:v>
      </x:c>
      <x:c r="D6" s="9" t="n">
        <x:v>100</x:v>
      </x:c>
      <x:c r="E6" s="11" t="n">
        <x:v>9800</x:v>
      </x:c>
      <x:c r="F6" s="11" t="n">
        <x:v>113664</x:v>
      </x:c>
      <x:c r="G6" s="7" t="str">
        <x:v>完整</x:v>
      </x:c>
      <x:c r="H6" s="7" t="str">
        <x:v>最后epoch=99；最终权重与检查点一致；生成文件可读</x:v>
      </x:c>
      <x:c r="I6" s="7" t="str">
        <x:v>HM_DeepSpital/outputs/v1_holdouts_1_2_3/holdout_3</x:v>
      </x:c>
    </x:row>
    <x:row r="7" ht="22" customHeight="1">
      <x:c r="A7" s="7" t="str">
        <x:v>S</x:v>
      </x:c>
      <x:c r="B7" s="9" t="n">
        <x:v>3</x:v>
      </x:c>
      <x:c r="C7" s="7" t="str">
        <x:v>real</x:v>
      </x:c>
      <x:c r="D7" s="9" t="n">
        <x:v>0</x:v>
      </x:c>
      <x:c r="E7" s="11" t="str">
        <x:v>n.a.</x:v>
      </x:c>
      <x:c r="F7" s="11" t="n">
        <x:v>113664</x:v>
      </x:c>
      <x:c r="G7" s="7" t="str">
        <x:v>完整</x:v>
      </x:c>
      <x:c r="H7" s="7" t="str">
        <x:v>复用V1权重，未新增训练；原权重SHA256一致</x:v>
      </x:c>
      <x:c r="I7" s="7" t="str">
        <x:v>HM_DeepSpital/outputs/s_holdouts_1_2_3/holdout_3</x:v>
      </x:c>
    </x:row>
    <x:row r="8" ht="22" customHeight="1">
      <x:c r="A8" s="7" t="str">
        <x:v>G</x:v>
      </x:c>
      <x:c r="B8" s="9" t="n">
        <x:v>1</x:v>
      </x:c>
      <x:c r="C8" s="7" t="str">
        <x:v>real</x:v>
      </x:c>
      <x:c r="D8" s="9" t="n">
        <x:v>100</x:v>
      </x:c>
      <x:c r="E8" s="11" t="n">
        <x:v>9800</x:v>
      </x:c>
      <x:c r="F8" s="11" t="n">
        <x:v>114757</x:v>
      </x:c>
      <x:c r="G8" s="7" t="str">
        <x:v>完整</x:v>
      </x:c>
      <x:c r="H8" s="7" t="str">
        <x:v>权重/生成/配对与S调度已核验</x:v>
      </x:c>
      <x:c r="I8" s="7" t="str">
        <x:v>HM_DeepSpital/outputs/g_holdouts_1_2_3/holdout_1/real</x:v>
      </x:c>
    </x:row>
    <x:row r="9" ht="22" customHeight="1">
      <x:c r="A9" s="7" t="str">
        <x:v>G</x:v>
      </x:c>
      <x:c r="B9" s="9" t="n">
        <x:v>1</x:v>
      </x:c>
      <x:c r="C9" s="7" t="str">
        <x:v>zero</x:v>
      </x:c>
      <x:c r="D9" s="9" t="n">
        <x:v>100</x:v>
      </x:c>
      <x:c r="E9" s="11" t="n">
        <x:v>9800</x:v>
      </x:c>
      <x:c r="F9" s="11" t="n">
        <x:v>114757</x:v>
      </x:c>
      <x:c r="G9" s="7" t="str">
        <x:v>完整</x:v>
      </x:c>
      <x:c r="H9" s="7" t="str">
        <x:v>权重/生成/配对与S调度已核验</x:v>
      </x:c>
      <x:c r="I9" s="7" t="str">
        <x:v>HM_DeepSpital/outputs/g_holdouts_1_2_3/holdout_1/zero</x:v>
      </x:c>
    </x:row>
    <x:row r="10" ht="22" customHeight="1">
      <x:c r="A10" s="7" t="str">
        <x:v>G</x:v>
      </x:c>
      <x:c r="B10" s="9" t="n">
        <x:v>1</x:v>
      </x:c>
      <x:c r="C10" s="7" t="str">
        <x:v>shuffle</x:v>
      </x:c>
      <x:c r="D10" s="9" t="n">
        <x:v>100</x:v>
      </x:c>
      <x:c r="E10" s="11" t="n">
        <x:v>9800</x:v>
      </x:c>
      <x:c r="F10" s="11" t="n">
        <x:v>114757</x:v>
      </x:c>
      <x:c r="G10" s="7" t="str">
        <x:v>完整</x:v>
      </x:c>
      <x:c r="H10" s="7" t="str">
        <x:v>权重/生成/配对与S调度已核验</x:v>
      </x:c>
      <x:c r="I10" s="7" t="str">
        <x:v>HM_DeepSpital/outputs/g_holdouts_1_2_3/holdout_1/shuffle</x:v>
      </x:c>
    </x:row>
    <x:row r="11" ht="22" customHeight="1">
      <x:c r="A11" s="7" t="str">
        <x:v>G</x:v>
      </x:c>
      <x:c r="B11" s="9" t="n">
        <x:v>2</x:v>
      </x:c>
      <x:c r="C11" s="7" t="str">
        <x:v>real</x:v>
      </x:c>
      <x:c r="D11" s="9" t="n">
        <x:v>100</x:v>
      </x:c>
      <x:c r="E11" s="11" t="n">
        <x:v>9800</x:v>
      </x:c>
      <x:c r="F11" s="11" t="n">
        <x:v>112777</x:v>
      </x:c>
      <x:c r="G11" s="7" t="str">
        <x:v>完整</x:v>
      </x:c>
      <x:c r="H11" s="7" t="str">
        <x:v>权重/生成/配对与S调度已核验</x:v>
      </x:c>
      <x:c r="I11" s="7" t="str">
        <x:v>HM_DeepSpital/outputs/g_holdouts_1_2_3/holdout_2/real</x:v>
      </x:c>
    </x:row>
    <x:row r="12" ht="22" customHeight="1">
      <x:c r="A12" s="7" t="str">
        <x:v>G</x:v>
      </x:c>
      <x:c r="B12" s="9" t="n">
        <x:v>2</x:v>
      </x:c>
      <x:c r="C12" s="7" t="str">
        <x:v>zero</x:v>
      </x:c>
      <x:c r="D12" s="9" t="n">
        <x:v>100</x:v>
      </x:c>
      <x:c r="E12" s="11" t="n">
        <x:v>9800</x:v>
      </x:c>
      <x:c r="F12" s="11" t="n">
        <x:v>112777</x:v>
      </x:c>
      <x:c r="G12" s="7" t="str">
        <x:v>完整</x:v>
      </x:c>
      <x:c r="H12" s="7" t="str">
        <x:v>权重/生成/配对与S调度已核验</x:v>
      </x:c>
      <x:c r="I12" s="7" t="str">
        <x:v>HM_DeepSpital/outputs/g_holdouts_1_2_3/holdout_2/zero</x:v>
      </x:c>
    </x:row>
    <x:row r="13" ht="22" customHeight="1">
      <x:c r="A13" s="7" t="str">
        <x:v>G</x:v>
      </x:c>
      <x:c r="B13" s="9" t="n">
        <x:v>2</x:v>
      </x:c>
      <x:c r="C13" s="7" t="str">
        <x:v>shuffle</x:v>
      </x:c>
      <x:c r="D13" s="9" t="n">
        <x:v>100</x:v>
      </x:c>
      <x:c r="E13" s="11" t="n">
        <x:v>9800</x:v>
      </x:c>
      <x:c r="F13" s="11" t="n">
        <x:v>112777</x:v>
      </x:c>
      <x:c r="G13" s="7" t="str">
        <x:v>完整</x:v>
      </x:c>
      <x:c r="H13" s="7" t="str">
        <x:v>权重/生成/配对与S调度已核验</x:v>
      </x:c>
      <x:c r="I13" s="7" t="str">
        <x:v>HM_DeepSpital/outputs/g_holdouts_1_2_3/holdout_2/shuffle</x:v>
      </x:c>
    </x:row>
    <x:row r="14" ht="22" customHeight="1">
      <x:c r="A14" s="7" t="str">
        <x:v>G</x:v>
      </x:c>
      <x:c r="B14" s="9" t="n">
        <x:v>3</x:v>
      </x:c>
      <x:c r="C14" s="7" t="str">
        <x:v>real</x:v>
      </x:c>
      <x:c r="D14" s="9" t="n">
        <x:v>100</x:v>
      </x:c>
      <x:c r="E14" s="11" t="n">
        <x:v>9800</x:v>
      </x:c>
      <x:c r="F14" s="11" t="n">
        <x:v>113664</x:v>
      </x:c>
      <x:c r="G14" s="7" t="str">
        <x:v>完整</x:v>
      </x:c>
      <x:c r="H14" s="7" t="str">
        <x:v>权重/生成/配对与S调度已核验</x:v>
      </x:c>
      <x:c r="I14" s="7" t="str">
        <x:v>HM_DeepSpital/outputs/g_holdouts_1_2_3/holdout_3/real</x:v>
      </x:c>
    </x:row>
    <x:row r="15" ht="22" customHeight="1">
      <x:c r="A15" s="7" t="str">
        <x:v>G</x:v>
      </x:c>
      <x:c r="B15" s="9" t="n">
        <x:v>3</x:v>
      </x:c>
      <x:c r="C15" s="7" t="str">
        <x:v>zero</x:v>
      </x:c>
      <x:c r="D15" s="9" t="n">
        <x:v>100</x:v>
      </x:c>
      <x:c r="E15" s="11" t="n">
        <x:v>9800</x:v>
      </x:c>
      <x:c r="F15" s="11" t="n">
        <x:v>113664</x:v>
      </x:c>
      <x:c r="G15" s="7" t="str">
        <x:v>完整</x:v>
      </x:c>
      <x:c r="H15" s="7" t="str">
        <x:v>权重/生成/配对与S调度已核验</x:v>
      </x:c>
      <x:c r="I15" s="7" t="str">
        <x:v>HM_DeepSpital/outputs/g_holdouts_1_2_3/holdout_3/zero</x:v>
      </x:c>
    </x:row>
    <x:row r="16" ht="22" customHeight="1">
      <x:c r="A16" s="7" t="str">
        <x:v>G</x:v>
      </x:c>
      <x:c r="B16" s="9" t="n">
        <x:v>3</x:v>
      </x:c>
      <x:c r="C16" s="7" t="str">
        <x:v>shuffle</x:v>
      </x:c>
      <x:c r="D16" s="9" t="n">
        <x:v>100</x:v>
      </x:c>
      <x:c r="E16" s="11" t="n">
        <x:v>9800</x:v>
      </x:c>
      <x:c r="F16" s="11" t="n">
        <x:v>113664</x:v>
      </x:c>
      <x:c r="G16" s="7" t="str">
        <x:v>完整</x:v>
      </x:c>
      <x:c r="H16" s="7" t="str">
        <x:v>权重/生成/配对与S调度已核验</x:v>
      </x:c>
      <x:c r="I16" s="7" t="str">
        <x:v>HM_DeepSpital/outputs/g_holdouts_1_2_3/holdout_3/shuffle</x:v>
      </x:c>
    </x:row>
  </x:sheetData>
  <x:pageMargins left="0.7" right="0.7" top="0.75" bottom="0.75" header="0.3" footer="0.3"/>
  <x:tableParts count="1">
    <x:tablePart xmlns:r="http://schemas.openxmlformats.org/officeDocument/2006/relationships" r:id="Rbfbdd4c7df1e4b14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24" hidden="0" customWidth="1"/>
  </x:cols>
  <x:sheetData>
    <x:row r="1" ht="42" customHeight="1">
      <x:c r="A1" s="6" t="str">
        <x:v>项目</x:v>
      </x:c>
      <x:c r="B1" s="6" t="str">
        <x:v>定义或来源</x:v>
      </x:c>
    </x:row>
    <x:row r="2" ht="36" customHeight="1">
      <x:c r="A2" s="7" t="str">
        <x:v>评价数据</x:v>
      </x:c>
      <x:c r="B2" s="45" t="str">
        <x:v>MERFISH五张切片，Z=0/50/100/150/200µm；独立留出1、2、3，其余四张可见。</x:v>
      </x:c>
    </x:row>
    <x:row r="3" ht="36" customHeight="1">
      <x:c r="A3" s="7" t="str">
        <x:v>稀有类定义</x:v>
      </x:c>
      <x:c r="B3" s="45" t="str">
        <x:v>每折可见四张训练切片合并计算丰度；0&lt;丰度≤5%，包含5%边界。各折均11类。</x:v>
      </x:c>
    </x:row>
    <x:row r="4" ht="36" customHeight="1">
      <x:c r="A4" s="7" t="str">
        <x:v>评价薄层</x:v>
      </x:c>
      <x:c r="B4" s="45" t="str">
        <x:v>隐藏切片Z±5µm；只用同cell_class寻找最近邻；覆盖半径25/50/100µm。</x:v>
      </x:c>
    </x:row>
    <x:row r="5" ht="36" customHeight="1">
      <x:c r="A5" s="7" t="str">
        <x:v>宏平均/加权平均</x:v>
      </x:c>
      <x:c r="B5" s="45" t="str">
        <x:v>宏召回对11类等权；加权召回按真实细胞数加权，精确率按预测细胞数加权。</x:v>
      </x:c>
    </x:row>
    <x:row r="6" ht="36" customHeight="1">
      <x:c r="A6" s="7" t="str">
        <x:v>切片间均值与标准差</x:v>
      </x:c>
      <x:c r="B6" s="45" t="str">
        <x:v>三折等权平均，标准差STDEV.S；不是多随机种子重复实验的不确定性。</x:v>
      </x:c>
    </x:row>
    <x:row r="7" ht="36" customHeight="1">
      <x:c r="A7" s="7" t="str">
        <x:v>空间表达PCC</x:v>
      </x:c>
      <x:c r="B7" s="45" t="str">
        <x:v>共同100µm/200µm网格，每组每格≥3细胞；逐基因log1p均值相关，再对基因取中位数。</x:v>
      </x:c>
    </x:row>
    <x:row r="8" ht="36" customHeight="1">
      <x:c r="A8" s="7" t="str">
        <x:v>共同稀有类表达PCC</x:v>
      </x:c>
      <x:c r="B8" s="45" t="str">
        <x:v>对各方法均有预测且真值存在的稀有类比较均值log1p表达；三折分别10/11/11类。</x:v>
      </x:c>
    </x:row>
    <x:row r="9" ht="36" customHeight="1">
      <x:c r="A9" s="7" t="str">
        <x:v>缺失数值</x:v>
      </x:c>
      <x:c r="B9" s="45" t="str">
        <x:v>n.a.表示不适用或无定义，不能当作0；真实零召回保留数值0。</x:v>
      </x:c>
    </x:row>
    <x:row r="10" ht="36" customHeight="1">
      <x:c r="A10" s="7" t="str">
        <x:v>指标方向</x:v>
      </x:c>
      <x:c r="B10" s="45" t="str">
        <x:v>召回/精确率/PCC越高越好；密度TV、类型比例TV、类型组成JS、最近邻距离越低越好。</x:v>
      </x:c>
    </x:row>
    <x:row r="11" ht="36" customHeight="1">
      <x:c r="A11" s="7" t="str">
        <x:v>种子与训练</x:v>
      </x:c>
      <x:c r="B11" s="45" t="str">
        <x:v>seed=42；V1/G各100 epochs。S复用V1 EMA权重，仅改变推理抽样，无新增训练。</x:v>
      </x:c>
    </x:row>
    <x:row r="12" ht="36" customHeight="1">
      <x:c r="A12" s="7" t="str">
        <x:v>来源复制对照</x:v>
      </x:c>
      <x:c r="B12" s="45" t="str">
        <x:v>保留S的parent、类型、数量和目标深度，XY与表达直接取可见来源，未使用隐藏真值。</x:v>
      </x:c>
    </x:row>
    <x:row r="13" ht="36" customHeight="1">
      <x:c r="A13" s="7" t="str">
        <x:v>续跑记录</x:v>
      </x:c>
      <x:c r="B13" s="45" t="str">
        <x:v>第三折G shuffle从10 epochs恢复；恢复后的随机数流不保证与不中断逐步相同。</x:v>
      </x:c>
    </x:row>
    <x:row r="14" ht="36" customHeight="1">
      <x:c r="A14" s="7" t="str">
        <x:v>V2范围</x:v>
      </x:c>
      <x:c r="B14" s="45" t="str">
        <x:v>下一步修改空间生成；本文件未包含V2实测结果。</x:v>
      </x:c>
    </x:row>
    <x:row r="15" ht="36" customHeight="1">
      <x:c r="A15" s="7" t="str">
        <x:v>来源 metrics.csv</x:v>
      </x:c>
      <x:c r="B15" s="45" t="str">
        <x:v>HM_DeepSpital/outputs/g_holdouts_1_2_3/analysis/metrics.csv</x:v>
      </x:c>
    </x:row>
    <x:row r="16" ht="36" customHeight="1">
      <x:c r="A16" s="7" t="str">
        <x:v>来源 cell_type_metrics.csv</x:v>
      </x:c>
      <x:c r="B16" s="45" t="str">
        <x:v>HM_DeepSpital/outputs/g_holdouts_1_2_3/analysis/cell_type_metrics.csv</x:v>
      </x:c>
    </x:row>
    <x:row r="17" ht="36" customHeight="1">
      <x:c r="A17" s="7" t="str">
        <x:v>来源 paired_comparisons.csv</x:v>
      </x:c>
      <x:c r="B17" s="45" t="str">
        <x:v>HM_DeepSpital/outputs/g_holdouts_1_2_3/analysis/paired_comparisons.csv</x:v>
      </x:c>
    </x:row>
    <x:row r="18" ht="36" customHeight="1">
      <x:c r="A18" s="7" t="str">
        <x:v>来源 source_displacement.csv</x:v>
      </x:c>
      <x:c r="B18" s="45" t="str">
        <x:v>HM_DeepSpital/outputs/g_holdouts_1_2_3/analysis/source_displacement.csv</x:v>
      </x:c>
    </x:row>
    <x:row r="19" ht="36" customHeight="1">
      <x:c r="A19" s="7" t="str">
        <x:v>来源 protocol.json</x:v>
      </x:c>
      <x:c r="B19" s="45" t="str">
        <x:v>HM_DeepSpital/outputs/g_holdouts_1_2_3/analysis/protocol.json</x:v>
      </x:c>
    </x:row>
    <x:row r="20" ht="36" customHeight="1">
      <x:c r="A20" s="7" t="str">
        <x:v>SHA256 metrics.csv</x:v>
      </x:c>
      <x:c r="B20" s="45" t="str">
        <x:v>37109a43431b4d10417947c22b09ffbf4b38ada362384ff663b4c4a989fbae2d</x:v>
      </x:c>
    </x:row>
    <x:row r="21" ht="36" customHeight="1">
      <x:c r="A21" s="7" t="str">
        <x:v>SHA256 cell_type_metrics.csv</x:v>
      </x:c>
      <x:c r="B21" s="45" t="str">
        <x:v>4d8c243bd9c999685e84257231f6b946163ff5b95323808ab1d6490924b425cd</x:v>
      </x:c>
    </x:row>
    <x:row r="22" ht="36" customHeight="1">
      <x:c r="A22" s="7" t="str">
        <x:v>SHA256 paired_comparisons.csv</x:v>
      </x:c>
      <x:c r="B22" s="45" t="str">
        <x:v>922129a47e7d00619e659d644bf5da2e20e617978549a1ee4595d22810c38c1e</x:v>
      </x:c>
    </x:row>
    <x:row r="23" ht="36" customHeight="1">
      <x:c r="A23" s="7" t="str">
        <x:v>SHA256 source_displacement.csv</x:v>
      </x:c>
      <x:c r="B23" s="45" t="str">
        <x:v>00be9a83cd307cf2f1031f2482c6a12d4ab16c52629c85c60d7f614f16b31b8e</x:v>
      </x:c>
    </x:row>
    <x:row r="24" ht="36" customHeight="1">
      <x:c r="A24" s="7" t="str">
        <x:v>SHA256 protocol.json</x:v>
      </x:c>
      <x:c r="B24" s="45" t="str">
        <x:v>9362d7689390efd60c472f6ebef6a1eaffc6db20914410e71979a4a270063be7</x:v>
      </x:c>
    </x:row>
  </x:sheetData>
  <x:pageMargins left="0.7" right="0.7" top="0.75" bottom="0.75" header="0.3" footer="0.3"/>
  <x:tableParts count="1">
    <x:tablePart xmlns:r="http://schemas.openxmlformats.org/officeDocument/2006/relationships" r:id="R1d1a81eb456e40c1"/>
  </x:tableParts>
</x:worksheet>
</file>